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'EsordientiFIGC-2014'!$E$1:$E$198</definedName>
    <definedName function="false" hidden="true" localSheetId="3" name="_xlnm._FilterDatabase" vbProcedure="false">'EsordientiFIGC-Misti'!$B$1:$B$41</definedName>
    <definedName function="false" hidden="true" localSheetId="11" name="_xlnm._FilterDatabase" vbProcedure="false">'Giovanissimi-2011'!$B$1:$B$183</definedName>
    <definedName function="false" hidden="true" localSheetId="12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3" name="Z_A8A99C78_E439_4DD3_97BA_8347ED3E67F2_.wvu.FilterData" vbProcedure="false">'EsordientiFIGC-Misti'!$B$1:$B$41</definedName>
    <definedName function="false" hidden="false" localSheetId="4" name="Z_A8A99C78_E439_4DD3_97BA_8347ED3E67F2_.wvu.FilterData" vbProcedure="false">'EsordientiFIGC-2013'!$E$1:$E$226</definedName>
    <definedName function="false" hidden="false" localSheetId="5" name="Z_A8A99C78_E439_4DD3_97BA_8347ED3E67F2_.wvu.FilterData" vbProcedure="false">'EsordientiFIGC-2014'!$E$1:$E$198</definedName>
    <definedName function="false" hidden="false" localSheetId="6" name="Z_A8A99C78_E439_4DD3_97BA_8347ED3E67F2_.wvu.FilterData" vbProcedure="false">'PulciniFIGC-2015'!$B$1</definedName>
    <definedName function="false" hidden="false" localSheetId="6" name="_FilterDatabase_0" vbProcedure="false">'PulciniFIGC-2015'!$B$1:$B$1</definedName>
    <definedName function="false" hidden="false" localSheetId="6" name="_xlnm._FilterDatabase" vbProcedure="false">'PulciniFIGC-2015'!$B$1</definedName>
    <definedName function="false" hidden="false" localSheetId="7" name="Z_A8A99C78_E439_4DD3_97BA_8347ED3E67F2_.wvu.FilterData" vbProcedure="false">'PulciniFIGC-2016'!$B$1</definedName>
    <definedName function="false" hidden="false" localSheetId="7" name="_FilterDatabase_0" vbProcedure="false">'PulciniFIGC-2016'!$B$1:$B$1</definedName>
    <definedName function="false" hidden="false" localSheetId="8" name="Z_A8A99C78_E439_4DD3_97BA_8347ED3E67F2_.wvu.FilterData" vbProcedure="false">'PulciniFIGC-Misti'!$B$1</definedName>
    <definedName function="false" hidden="false" localSheetId="8" name="_FilterDatabase_0" vbProcedure="false">'PulciniFIGC-Misti'!$B$1:$B$1</definedName>
    <definedName function="false" hidden="false" localSheetId="9" name="Z_A8A99C78_E439_4DD3_97BA_8347ED3E67F2_.wvu.FilterData" vbProcedure="false">'Primi Calci'!$E$1</definedName>
    <definedName function="false" hidden="false" localSheetId="9" name="_FilterDatabase_0" vbProcedure="false">'Primi Calci'!$E$1:$E$1</definedName>
    <definedName function="false" hidden="false" localSheetId="11" name="Z_A8A99C78_E439_4DD3_97BA_8347ED3E67F2_.wvu.FilterData" vbProcedure="false">'Giovanissimi-2011'!$B$1:$B$183</definedName>
    <definedName function="false" hidden="false" localSheetId="12" name="Z_A8A99C78_E439_4DD3_97BA_8347ED3E67F2_.wvu.FilterData" vbProcedure="false">'GiovanissimiFIGC-2012'!$B$2:$B$234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<sst xmlns="http://schemas.openxmlformats.org/spreadsheetml/2006/main" count="18333" uniqueCount="1057">
  <si>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</si>
  <si>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</si>
  <si>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</si>
  <si>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</si>
  <si>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</si>
  <si>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</si>
  <si>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</si>
  <si>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Giornata</t>
  </si>
  <si>
    <t xml:space="preserve">A/R</t>
  </si>
  <si>
    <t xml:space="preserve">Federazione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</si>
  <si>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</si>
  <si>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</si>
  <si>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</si>
  <si>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</si>
  <si>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</si>
  <si>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</si>
  <si>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 24030 Medolago</t>
  </si>
  <si>
    <t xml:space="preserve">Ritorno</t>
  </si>
  <si>
    <t xml:space="preserve">CSI</t>
  </si>
  <si>
    <t xml:space="preserve">Or.Bonate Bianchi</t>
  </si>
  <si>
    <t xml:space="preserve">Oriens Brembate</t>
  </si>
  <si>
    <t xml:space="preserve">16:00</t>
  </si>
  <si>
    <t xml:space="preserve">Oratorio (Sintetico) Via Papa Giovanni,3 24040 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</si>
  <si>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</si>
  <si>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</si>
  <si>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</si>
  <si>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</si>
  <si>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</si>
  <si>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 Villa D'Adda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</si>
  <si>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</si>
  <si>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</si>
  <si>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</si>
  <si>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</si>
  <si>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 Caprino B.Sco</t>
  </si>
  <si>
    <t xml:space="preserve">Oratorio (Sintetico) Via Milano, 4 24030 Terno D'Isola</t>
  </si>
  <si>
    <t xml:space="preserve">Parrocchiale Via Manzoni, 24 24040 Chignolo D'Isola</t>
  </si>
  <si>
    <t xml:space="preserve">Parrocchiale (Sintetico) Via Marconi 24041 Brembate</t>
  </si>
  <si>
    <t xml:space="preserve">Comunale (Sint) Via Resistenza 24041 Brembate/Grignano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</si>
  <si>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</si>
  <si>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</si>
  <si>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</si>
  <si>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</si>
  <si>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</si>
  <si>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</si>
  <si>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</si>
  <si>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</si>
  <si>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</si>
  <si>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</si>
  <si>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</si>
  <si>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 24010 Algua/Rigosa</t>
  </si>
  <si>
    <t xml:space="preserve">Pol.Com.Sedrinese</t>
  </si>
  <si>
    <t xml:space="preserve">Presezzo Verde</t>
  </si>
  <si>
    <t xml:space="preserve">Parrocchiale Via CÃ  Damiani, 27 24010 Sedrina</t>
  </si>
  <si>
    <t xml:space="preserve">Brembate Sopra</t>
  </si>
  <si>
    <t xml:space="preserve">Brembillese</t>
  </si>
  <si>
    <t xml:space="preserve">16:45</t>
  </si>
  <si>
    <t xml:space="preserve">Comunale 7 (Sint) Via Don G.Sala 24030 Brembate di Sopra</t>
  </si>
  <si>
    <t xml:space="preserve">Real Borgogna 15</t>
  </si>
  <si>
    <t xml:space="preserve">Locate Bergamasco</t>
  </si>
  <si>
    <t xml:space="preserve">Comunale 7 (Sintetico) Via Montebello,2 24030 Palazzago</t>
  </si>
  <si>
    <t xml:space="preserve">Olmo 1999</t>
  </si>
  <si>
    <t xml:space="preserve">Presezzo Bianca</t>
  </si>
  <si>
    <t xml:space="preserve">Comunale (Sintetico) Via S.Antonio Abate 24010 Olmo al Brembo</t>
  </si>
  <si>
    <t xml:space="preserve">Comunale A7 (Sintetico) Via Olimpia, 3 24030 Presezzo</t>
  </si>
  <si>
    <t xml:space="preserve">Parrocchiale Via Delle Rimembranze 14 24036 Ponte San Pietro</t>
  </si>
  <si>
    <t xml:space="preserve">L.Secomandi LocalitÃ  Piana 24012 Brembilla</t>
  </si>
  <si>
    <t xml:space="preserve">Oratorio (Sintetico) Via Terzi S. Agata, 8 24035 Curno</t>
  </si>
  <si>
    <t xml:space="preserve">Uso Sabbio</t>
  </si>
  <si>
    <t xml:space="preserve">Osgdalmine Blu</t>
  </si>
  <si>
    <t xml:space="preserve">G</t>
  </si>
  <si>
    <t xml:space="preserve">Oratorio (Sintetico) Via Beltramelli 5 24044 Dalmine/Sabbio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</si>
  <si>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</si>
  <si>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</si>
  <si>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</si>
  <si>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</si>
  <si>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 24040 Boltiere</t>
  </si>
  <si>
    <t xml:space="preserve">Or.Grassobbio2014</t>
  </si>
  <si>
    <t xml:space="preserve">Osgdalmine Bianco</t>
  </si>
  <si>
    <t xml:space="preserve">Oratorio (Sintetico) Via Papa Giovanni XXIII 35 24050 Grassobbio</t>
  </si>
  <si>
    <t xml:space="preserve">Uso Sforzatica</t>
  </si>
  <si>
    <t xml:space="preserve">Brembo</t>
  </si>
  <si>
    <t xml:space="preserve">Or.S.Maria 7 (Sint) P.Za S.Maria D'Oleno 24044 Dalmine/Sforzatica</t>
  </si>
  <si>
    <t xml:space="preserve">Giemme 15</t>
  </si>
  <si>
    <t xml:space="preserve">San Paolo Neri</t>
  </si>
  <si>
    <t xml:space="preserve">Oratorio Via G.Moroni 1 24036 Ponte San Pietro</t>
  </si>
  <si>
    <t xml:space="preserve">Oratorio (Sint) Piazzale S.Paolo 35 24128 Bergamo/San Paolo</t>
  </si>
  <si>
    <t xml:space="preserve">Comunale Via Guzzanica 24044 Dalmine</t>
  </si>
  <si>
    <t xml:space="preserve">Oratorio (Sintetico) Viale Betelli 1 24044 Dalmine</t>
  </si>
  <si>
    <t xml:space="preserve">Oratorio (Sintetico) Via Milano 4 24030 Terno D'Isola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</si>
  <si>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</si>
  <si>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</si>
  <si>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</si>
  <si>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</si>
  <si>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</si>
  <si>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</si>
  <si>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</si>
  <si>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</si>
  <si>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</si>
  <si>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</si>
  <si>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</si>
  <si>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 24040 Levate</t>
  </si>
  <si>
    <t xml:space="preserve">Or.Osio Sotto</t>
  </si>
  <si>
    <t xml:space="preserve">Nosari Rossi</t>
  </si>
  <si>
    <t xml:space="preserve">Parrocchiale (Sintetico) Via S. Alessandro 3 24046 Osio Sotto</t>
  </si>
  <si>
    <t xml:space="preserve">Or.Monterosso</t>
  </si>
  <si>
    <t xml:space="preserve">Or.Villaggiosposi</t>
  </si>
  <si>
    <t xml:space="preserve">Or. P.Morosini (Sint) Via S.G.Barbarigo 24123 Bergamo/Monterosso</t>
  </si>
  <si>
    <t xml:space="preserve">Oratorio (Sintetico) Via CantÃ¹ 1 24127 Bergamo/Villaggio Sp</t>
  </si>
  <si>
    <t xml:space="preserve">Oratorio (Sintetico) Via Greppi 6 24122 Bergamo/Immacolata</t>
  </si>
  <si>
    <t xml:space="preserve">Imiberg (Sint) Via Riva di Villasanta 20 24128 Bergamo/S.Lucia</t>
  </si>
  <si>
    <t xml:space="preserve">Comunale (Sint) Via Rovelli 30 24125 Bergamo/Boccaleone</t>
  </si>
  <si>
    <t xml:space="preserve">San Pellegrino</t>
  </si>
  <si>
    <t xml:space="preserve">Esordienti 11</t>
  </si>
  <si>
    <t xml:space="preserve">Stadio Quarenghi (Sint) Via B.Belotti 24016 S.Pellegrino Terme</t>
  </si>
  <si>
    <t xml:space="preserve">Or.Stezzano 2006</t>
  </si>
  <si>
    <t xml:space="preserve">Parrocchiale (Sintetico) Via Bergamo 15 24040 Stezzano</t>
  </si>
  <si>
    <t xml:space="preserve">Solzese</t>
  </si>
  <si>
    <t xml:space="preserve">Pol.Sorisolese</t>
  </si>
  <si>
    <t xml:space="preserve">Comunale a 11 Via Rossini 24030 Solza</t>
  </si>
  <si>
    <t xml:space="preserve">Pol.Osio Sopra</t>
  </si>
  <si>
    <t xml:space="preserve">Sporting Ovz</t>
  </si>
  <si>
    <t xml:space="preserve">Comunale Via Leonardo Da Vinci 35 24040 Osio Sopra</t>
  </si>
  <si>
    <t xml:space="preserve">Oratorio Parcheggio Via Olmo 24049 Verdellino</t>
  </si>
  <si>
    <t xml:space="preserve">Comunale (Sintetico) Via Roccoli 24010 Sorisole</t>
  </si>
  <si>
    <t xml:space="preserve">Comunale 1 Via IV Novembre 25B 24035 Curno</t>
  </si>
  <si>
    <t xml:space="preserve"> Calcio Avbrembana</t>
  </si>
  <si>
    <t xml:space="preserve"> Brembillese</t>
  </si>
  <si>
    <t xml:space="preserve">Pulcini 7</t>
  </si>
  <si>
    <t xml:space="preserve"> Comunale Via Briolo Entro S.Giovanni Bianco (2025120AR0204)</t>
  </si>
  <si>
    <t xml:space="preserve"> A</t>
  </si>
  <si>
    <t xml:space="preserve"> ritorno</t>
  </si>
  <si>
    <t xml:space="preserve"> CSI​</t>
  </si>
  <si>
    <t xml:space="preserve"> Acc.Villa D'Alme</t>
  </si>
  <si>
    <t xml:space="preserve"> Gso Botta</t>
  </si>
  <si>
    <t xml:space="preserve"> Comunale A 7 (Sint) Via Ronco Basso 15 Villa D'Almè (2025120AR0201)</t>
  </si>
  <si>
    <t xml:space="preserve"> Olmo 1999</t>
  </si>
  <si>
    <t xml:space="preserve"> Sportimagna Blu</t>
  </si>
  <si>
    <t xml:space="preserve"> Comunale (Sintetico) Via S.Antonio Abate Olmo al Brembo (2025120AR0205)</t>
  </si>
  <si>
    <t xml:space="preserve"> Valserina</t>
  </si>
  <si>
    <t xml:space="preserve"> San Pellegrino</t>
  </si>
  <si>
    <t xml:space="preserve"> Comunale Via Valle Serina (2025120AR0202)</t>
  </si>
  <si>
    <t xml:space="preserve"> Lemine Almenno Bi</t>
  </si>
  <si>
    <t xml:space="preserve"> Sportimagna</t>
  </si>
  <si>
    <t xml:space="preserve"> Cs Mazzoleni (Sint) Via Stoppani 114 Berbenno/Pontegiurin (2025120AR0203)</t>
  </si>
  <si>
    <t xml:space="preserve"> Comunale Via Briolo Entro S.Giovanni Bianco (2025120AR0301)</t>
  </si>
  <si>
    <t xml:space="preserve"> Comunale (Sintetico A 7) Via Elia Frosio 6 S.Omobono Terme (2025120AR0302)</t>
  </si>
  <si>
    <t xml:space="preserve"> Comunale (Sintetico A 7) Via Elia Frosio 6 S.Omobono Terme (2025120AR0305)</t>
  </si>
  <si>
    <t xml:space="preserve"> Stadio Quarenghi (Sint) Via B.Belotti S.Pellegrino Terme (2025120AR0303)</t>
  </si>
  <si>
    <t xml:space="preserve"> Comunale Via Villaggio Europa 1 Brembilla (2025120AR0304)</t>
  </si>
  <si>
    <t xml:space="preserve"> Comunale (Sint) Via F.Lli Roncelli 2 Almenno S.Bartolomeo (2025120AR0404)</t>
  </si>
  <si>
    <t xml:space="preserve"> Oratorio (Sintetico) Via Palazzo 2 Sedrina/Botta (2025120AR0405)</t>
  </si>
  <si>
    <t xml:space="preserve"> Comunale A 7 (Sint) Via Ronco Basso 15 Villa D'Almè (2025120AR0401)</t>
  </si>
  <si>
    <t xml:space="preserve"> Comunale (Sintetico) Via S.Antonio Abate Olmo al Brembo (2025120AR0402)</t>
  </si>
  <si>
    <t xml:space="preserve"> Comunale Via Valle Serina (2025120AR0403)</t>
  </si>
  <si>
    <t xml:space="preserve"> Comunale (Sint) Via F.Lli Roncelli 2 Almenno S.Bartolomeo (2025120AR0501)</t>
  </si>
  <si>
    <t xml:space="preserve"> Comunale Via Briolo Entro S.Giovanni Bianco (2025120AR0502)</t>
  </si>
  <si>
    <t xml:space="preserve"> Comunale (Sintetico A 7) Via Elia Frosio 6 S.Omobono Terme (2025120AR0503)</t>
  </si>
  <si>
    <t xml:space="preserve"> Stadio Quarenghi (Sint) Via B.Belotti S.Pellegrino Terme (2025120AR0504)</t>
  </si>
  <si>
    <t xml:space="preserve"> Comunale Via Villaggio Europa 1 Brembilla (2025120AR0505)</t>
  </si>
  <si>
    <t xml:space="preserve"> Oratorio (Sintetico) Via Palazzo 2 Sedrina/Botta (2025120AR0601)</t>
  </si>
  <si>
    <t xml:space="preserve"> Comunale A 7 (Sint) Via Ronco Basso 15 Villa D'Almè (2025120AR0602)</t>
  </si>
  <si>
    <t xml:space="preserve"> Comunale (Sintetico) Via S.Antonio Abate Olmo al Brembo (2025120AR0603)</t>
  </si>
  <si>
    <t xml:space="preserve"> Comunale Via Valle Serina (2025120AR0604)</t>
  </si>
  <si>
    <t xml:space="preserve"> Comunale (Sintetico A 7) Via Elia Frosio 6 S.Omobono Terme (2025120AR0605)</t>
  </si>
  <si>
    <t xml:space="preserve"> Comunale (Sint) Via F.Lli Roncelli 2 Almenno S.Bartolomeo (2025120AR0702)</t>
  </si>
  <si>
    <t xml:space="preserve"> Comunale Via Briolo Entro S.Giovanni Bianco (2025120AR0703)</t>
  </si>
  <si>
    <t xml:space="preserve"> Comunale (Sintetico A 7) Via Elia Frosio 6 S.Omobono Terme (2025120AR0705)</t>
  </si>
  <si>
    <t xml:space="preserve"> Comunale Via Valle Serina (2025120AR0701)</t>
  </si>
  <si>
    <t xml:space="preserve"> Comunale Via Villaggio Europa 1 Brembilla (2025120AR0704)</t>
  </si>
  <si>
    <t xml:space="preserve"> Stadio Quarenghi (Sint) Via B.Belotti S.Pellegrino Terme (2025120AR0801)</t>
  </si>
  <si>
    <t xml:space="preserve"> Oratorio (Sintetico) Via Palazzo 2 Sedrina/Botta (2025120AR0802)</t>
  </si>
  <si>
    <t xml:space="preserve"> Comunale A 7 (Sint) Via Ronco Basso 15 Villa D'Almè (2025120AR0803)</t>
  </si>
  <si>
    <t xml:space="preserve"> Comunale (Sintetico A 7) Via Elia Frosio 6 S.Omobono Terme (2025120AR0805)</t>
  </si>
  <si>
    <t xml:space="preserve"> Comunale Via Villaggio Europa 1 Brembilla (2025120AR0804)</t>
  </si>
  <si>
    <t xml:space="preserve"> Comunale (Sint) Via F.Lli Roncelli 2 Almenno S.Bartolomeo (2025120AR0905)</t>
  </si>
  <si>
    <t xml:space="preserve"> Comunale Via Briolo Entro S.Giovanni Bianco (2025120AR0903)</t>
  </si>
  <si>
    <t xml:space="preserve"> Comunale (Sintetico A 7) Via Elia Frosio 6 S.Omobono Terme (2025120AR0904)</t>
  </si>
  <si>
    <t xml:space="preserve"> Comunale (Sintetico) Via S.Antonio Abate Olmo al Brembo (2025120AR0901)</t>
  </si>
  <si>
    <t xml:space="preserve"> Comunale Via Valle Serina (2025120AR0902)</t>
  </si>
  <si>
    <t xml:space="preserve"> CSI</t>
  </si>
  <si>
    <t xml:space="preserve"> Giemme17</t>
  </si>
  <si>
    <t xml:space="preserve"> Presezzo Calcio</t>
  </si>
  <si>
    <t xml:space="preserve"> Oratorio Via G.Moroni 1 Ponte San Pietro</t>
  </si>
  <si>
    <t xml:space="preserve"> B</t>
  </si>
  <si>
    <t xml:space="preserve"> Pontisola Calcio</t>
  </si>
  <si>
    <t xml:space="preserve"> Dinamo Gialli</t>
  </si>
  <si>
    <t xml:space="preserve"> Com.A.Villa (Sint) Via Xxiv Maggio Ponte S.Pietro</t>
  </si>
  <si>
    <t xml:space="preserve"> Real Borgogna 17</t>
  </si>
  <si>
    <t xml:space="preserve"> V.Or.Petosino Blu</t>
  </si>
  <si>
    <t xml:space="preserve"> Sintetico Via Papa Giovanni XXIII Barzana</t>
  </si>
  <si>
    <t xml:space="preserve"> Lemine Almenno Ve</t>
  </si>
  <si>
    <t xml:space="preserve"> Pol.Sorisolese</t>
  </si>
  <si>
    <t xml:space="preserve"> Comunale (Sint) Via F.Lli Roncelli 2 Almenno S.Bartolomeo</t>
  </si>
  <si>
    <t xml:space="preserve"> Lemine Almenno Gi</t>
  </si>
  <si>
    <t xml:space="preserve"> V.Or.Petosino Red</t>
  </si>
  <si>
    <t xml:space="preserve"> Oratorio Via San Carlo 36 Sorisole</t>
  </si>
  <si>
    <t xml:space="preserve"> Oratorio Via Martiri Della Libertà 95 Sorisole/Petosino</t>
  </si>
  <si>
    <t xml:space="preserve"> Comunale A7 (Sintetico) Via Olimpia 3 Presezzo</t>
  </si>
  <si>
    <t xml:space="preserve"> Oratorio (Sintetico) Via Terzi S. Agata 8 Curno</t>
  </si>
  <si>
    <t xml:space="preserve"> CS </t>
  </si>
  <si>
    <t xml:space="preserve">Medolago</t>
  </si>
  <si>
    <t xml:space="preserve">Bottanuco Calcio</t>
  </si>
  <si>
    <t xml:space="preserve">Comunale (Sint) Via Laterale Adda 2 Medolago</t>
  </si>
  <si>
    <t xml:space="preserve">N</t>
  </si>
  <si>
    <t xml:space="preserve">ritorno</t>
  </si>
  <si>
    <t xml:space="preserve">CSI​</t>
  </si>
  <si>
    <t xml:space="preserve">Aurora Terno</t>
  </si>
  <si>
    <t xml:space="preserve">Comunale A 7 (Sintetico) Via Rossini 19 Solza</t>
  </si>
  <si>
    <t xml:space="preserve">Calusco Calcio</t>
  </si>
  <si>
    <t xml:space="preserve">Oratorio (Sintetico) Via Papa Giovanni3 Bonate Sopra</t>
  </si>
  <si>
    <t xml:space="preserve">Pontida Briantea</t>
  </si>
  <si>
    <t xml:space="preserve">Bonate Sotto 1951</t>
  </si>
  <si>
    <t xml:space="preserve">Comunale 7 (Sint) Via Garibaldi 15 Bonate Sotto</t>
  </si>
  <si>
    <t xml:space="preserve">Comunale (Sint) Via Cav. di V.Veneto Calusco D'Adda</t>
  </si>
  <si>
    <t xml:space="preserve">Oratorio (Sintetico) Via Milano 4 Terno D'Isola</t>
  </si>
  <si>
    <t xml:space="preserve">C.S. Isacchi7 (Sintetico) Via Convento 99 Pontida</t>
  </si>
  <si>
    <t xml:space="preserve">Oratorio Via Roma 1 Bottanuco</t>
  </si>
  <si>
    <t xml:space="preserve">Comunale (Sintetico) Via G. Donizetti 4 Villa D'Adda</t>
  </si>
  <si>
    <t xml:space="preserve">Or.Osio Sotto 17</t>
  </si>
  <si>
    <t xml:space="preserve">Osio Sopra Bianch</t>
  </si>
  <si>
    <t xml:space="preserve">Parrocchiale (Sintetico) Via S. Alessandro 3 Osio Sotto</t>
  </si>
  <si>
    <t xml:space="preserve">O</t>
  </si>
  <si>
    <t xml:space="preserve">Or.S.Andrea (Sint) Via Colombo 7/A Dalmine/Sforzatica</t>
  </si>
  <si>
    <t xml:space="preserve">Mariano Calcio</t>
  </si>
  <si>
    <t xml:space="preserve">Velodromo Via Tofane 1 Dalmine</t>
  </si>
  <si>
    <t xml:space="preserve">Or.Osio Sotto 16</t>
  </si>
  <si>
    <t xml:space="preserve">Comunale (Sint) Via Resistenza Brembate/Grignano</t>
  </si>
  <si>
    <t xml:space="preserve">Osio Sopra Rossi</t>
  </si>
  <si>
    <t xml:space="preserve">Or.Stezzano 17</t>
  </si>
  <si>
    <t xml:space="preserve">Comunale Via Leonardo Da Vinci 35 Osio Sopra</t>
  </si>
  <si>
    <t xml:space="preserve">Parrocchiale (Sintetico) Via Marconi Brembate</t>
  </si>
  <si>
    <t xml:space="preserve">Oratorio (Sintetico) Viale Betelli 1 Dalmine</t>
  </si>
  <si>
    <t xml:space="preserve">Parrocchiale (Sintetico) Via Bergamo 15 Stezzano</t>
  </si>
  <si>
    <t xml:space="preserve">CSI </t>
  </si>
  <si>
    <t xml:space="preserve"> Brembo</t>
  </si>
  <si>
    <t xml:space="preserve"> Virescit 16</t>
  </si>
  <si>
    <t xml:space="preserve"> Comunale 2 Via Caduti di Nassiriya Dalmine/Brembo</t>
  </si>
  <si>
    <t xml:space="preserve"> P</t>
  </si>
  <si>
    <t xml:space="preserve"> Pol.Imiberg</t>
  </si>
  <si>
    <t xml:space="preserve"> Excelsior</t>
  </si>
  <si>
    <t xml:space="preserve"> Imiberg (Sint) Via Riva di Villasanta 20 Bergamo/S.Lucia</t>
  </si>
  <si>
    <t xml:space="preserve"> Dinamo 2017</t>
  </si>
  <si>
    <t xml:space="preserve"> Or.Monterosso</t>
  </si>
  <si>
    <t xml:space="preserve"> Locate Bergamasco</t>
  </si>
  <si>
    <t xml:space="preserve"> Ares Redona</t>
  </si>
  <si>
    <t xml:space="preserve"> Parrocchiale Via Delle Rimembranze 14 Ponte San Pietro</t>
  </si>
  <si>
    <t xml:space="preserve"> Giemme 16</t>
  </si>
  <si>
    <t xml:space="preserve"> Dinamo Blu</t>
  </si>
  <si>
    <t xml:space="preserve"> Oratorio (Sintetico) Via Galimberti 4 Bergamo/Redona</t>
  </si>
  <si>
    <t xml:space="preserve"> Or. P.Morosini (Sint) Via S.G.Barbarigo Bergamo/Monterosso</t>
  </si>
  <si>
    <t xml:space="preserve"> Excelsior Viale G.Cesare (Sintetico) Bergamo</t>
  </si>
  <si>
    <t xml:space="preserve"> Comunale Via Lochis Bergamo/Longuelo</t>
  </si>
  <si>
    <t xml:space="preserve"> Alzano 16 Gialli</t>
  </si>
  <si>
    <t xml:space="preserve"> Nembrese 1913</t>
  </si>
  <si>
    <t xml:space="preserve"> Oratorio (Sintetico) Via Puccini 4 Alzano Sopra</t>
  </si>
  <si>
    <t xml:space="preserve"> Q</t>
  </si>
  <si>
    <t xml:space="preserve"> Virescit 17</t>
  </si>
  <si>
    <t xml:space="preserve"> Or.Albino Rossi</t>
  </si>
  <si>
    <t xml:space="preserve"> Or.Boccaleone</t>
  </si>
  <si>
    <t xml:space="preserve"> Or.Villese</t>
  </si>
  <si>
    <t xml:space="preserve"> Comunale (Sint) Via Rovelli 30 Bergamo/Boccaleone</t>
  </si>
  <si>
    <t xml:space="preserve"> David Or.Nembro</t>
  </si>
  <si>
    <t xml:space="preserve"> Alzano 17 Neri</t>
  </si>
  <si>
    <t xml:space="preserve"> Oratorio Via Vittoria 12 Nembro</t>
  </si>
  <si>
    <t xml:space="preserve"> Or.Stezzano 16</t>
  </si>
  <si>
    <t xml:space="preserve"> Tribulina Gavarno</t>
  </si>
  <si>
    <t xml:space="preserve"> Parrocchiale (Sintetico) Via Bergamo 15 Stezzano</t>
  </si>
  <si>
    <t xml:space="preserve"> Comunale (Erba) Via Case Sparse Saletti 2/A Nembro</t>
  </si>
  <si>
    <t xml:space="preserve"> Oratorio Via Locatelli 8 Villa di Serio</t>
  </si>
  <si>
    <t xml:space="preserve"> Oratorio (Sintetico) Via Don C. Rossi 10 Albino</t>
  </si>
  <si>
    <t xml:space="preserve"> Comunale (Sint) Via Monte Misma 12/A Scanzorosciate/Tribu</t>
  </si>
  <si>
    <t xml:space="preserve">Or.Albino 2017</t>
  </si>
  <si>
    <t xml:space="preserve">Agnelli Olimpia B</t>
  </si>
  <si>
    <t xml:space="preserve">Oratorio (Sintetico) Via Don C. Rossi 10 Albino</t>
  </si>
  <si>
    <t xml:space="preserve">Pol.Dei Colli</t>
  </si>
  <si>
    <t xml:space="preserve">Or.Ordival (Sintetico) Via Zarda 1 Bergamo/Valtesse</t>
  </si>
  <si>
    <t xml:space="preserve">Trealbe Calcio</t>
  </si>
  <si>
    <t xml:space="preserve">Oratorio (Sintetico) Via Cantù 1 Bergamo/Villaggio Sp</t>
  </si>
  <si>
    <t xml:space="preserve">Agnelli Olimpia R</t>
  </si>
  <si>
    <t xml:space="preserve">Oratorio (Sintetico) Via Greppi 6 Bergamo/Immacolata</t>
  </si>
  <si>
    <t xml:space="preserve">San Paolo Ap</t>
  </si>
  <si>
    <t xml:space="preserve">Pol.Or.San Tomaso</t>
  </si>
  <si>
    <t xml:space="preserve">Oratorio (Sint) Piazzale S.Paolo 35 Bergamo/San Paolo</t>
  </si>
  <si>
    <t xml:space="preserve">Oratorio (Sintetico) Via Elba 17 Bergamo/San Tomaso</t>
  </si>
  <si>
    <t xml:space="preserve">Oratorio (Sint) Via B.Go Palazzo 45 Bergamo</t>
  </si>
  <si>
    <t xml:space="preserve">Oratorio (Sintetico) Piazza Conciliazione 1 Treviolo/Albegno</t>
  </si>
  <si>
    <t xml:space="preserve">PONTERANICA</t>
  </si>
  <si>
    <t xml:space="preserve">ACC.CALCIO A.V. BREMBANA</t>
  </si>
  <si>
    <t xml:space="preserve">ESORDIENTI MISTI</t>
  </si>
  <si>
    <t xml:space="preserve">PONTERANICA - VIA VIII MARZO</t>
  </si>
  <si>
    <t xml:space="preserve">FIGC</t>
  </si>
  <si>
    <t xml:space="preserve">TREALBE CALCIO A.S.D.</t>
  </si>
  <si>
    <t xml:space="preserve">BERGAMO FC 1971 ASD</t>
  </si>
  <si>
    <t xml:space="preserve">TREVIOLO - VIA AREONAUTICA N.3</t>
  </si>
  <si>
    <t xml:space="preserve">GRASSOBBIO</t>
  </si>
  <si>
    <t xml:space="preserve">CELADINA</t>
  </si>
  <si>
    <t xml:space="preserve">GRASSOBBIO - VIA XXV APRILE,80</t>
  </si>
  <si>
    <t xml:space="preserve">EXCELSIOR SEZ. CALCIO ASD</t>
  </si>
  <si>
    <t xml:space="preserve">LALLIO CALCIO</t>
  </si>
  <si>
    <t xml:space="preserve">BERGAMO Q.RE S.CATERINA - VIALE GIULIO CESARE,5</t>
  </si>
  <si>
    <t xml:space="preserve">MALPENSATA CAMPAGNOLA</t>
  </si>
  <si>
    <t xml:space="preserve">AURORA SERIATE</t>
  </si>
  <si>
    <t xml:space="preserve">BERGAMO Q.RE CAMPAGNOLA - VIA GASPARINI</t>
  </si>
  <si>
    <t xml:space="preserve">BERGAMO Q.RE LORETO - VIA MEUCCI</t>
  </si>
  <si>
    <t xml:space="preserve">LALLIO - VIA GRAZIA DELEDDA</t>
  </si>
  <si>
    <t xml:space="preserve">BERGAMO Q.RE CELADINA - VIA PIZZO SCAIS 1</t>
  </si>
  <si>
    <t xml:space="preserve">| VIA DECO' E CANETTA 66</t>
  </si>
  <si>
    <t xml:space="preserve">SAN GIOVANNI BIANCO - VIA BRIOLO ENTRO SNC</t>
  </si>
  <si>
    <t xml:space="preserve"> ROVETTA U.S. A.S.D.</t>
  </si>
  <si>
    <t xml:space="preserve"> FALCO</t>
  </si>
  <si>
    <t xml:space="preserve">ESORDIENTI 2013</t>
  </si>
  <si>
    <t xml:space="preserve">D</t>
  </si>
  <si>
    <t xml:space="preserve"> 15:15</t>
  </si>
  <si>
    <t xml:space="preserve"> Ardesio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</si>
  <si>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</si>
  <si>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</si>
  <si>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</si>
  <si>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</si>
  <si>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15:30</t>
  </si>
  <si>
    <t xml:space="preserve"> Gorle VIA ROMA 2A</t>
  </si>
  <si>
    <t xml:space="preserve"> RANICA CALCIO</t>
  </si>
  <si>
    <t xml:space="preserve"> LA TORRE CALCIO A.S.D.</t>
  </si>
  <si>
    <t xml:space="preserve"> 15:00</t>
  </si>
  <si>
    <t xml:space="preserve"> Ranica PIAZZA L. BERTETT SNC</t>
  </si>
  <si>
    <t xml:space="preserve"> CITTA DI ALZANO1921 ASD</t>
  </si>
  <si>
    <t xml:space="preserve"> NEMBRESE 1913</t>
  </si>
  <si>
    <t xml:space="preserve"> Alzano Lombardo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</si>
  <si>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</si>
  <si>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</si>
  <si>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</si>
  <si>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Albino VIA MADONNA DEL PIANTO 22</t>
  </si>
  <si>
    <t xml:space="preserve"> 14:30</t>
  </si>
  <si>
    <t xml:space="preserve"> Albino VIA RIO RE SNC</t>
  </si>
  <si>
    <t xml:space="preserve"> Casnigo VIA EUROPA</t>
  </si>
  <si>
    <t xml:space="preserve"> 17:00</t>
  </si>
  <si>
    <t xml:space="preserve"> Torre Boldone VIALE LOMBARDIA 44</t>
  </si>
  <si>
    <t xml:space="preserve"> 16:00</t>
  </si>
  <si>
    <t xml:space="preserve"> Ponte San Pietro VIA TRENTO TRIESTE</t>
  </si>
  <si>
    <t xml:space="preserve"> Nembro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</si>
  <si>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</si>
  <si>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</si>
  <si>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</si>
  <si>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</si>
  <si>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 - VIA MILANO N.7</t>
  </si>
  <si>
    <t xml:space="preserve">COLOGNESE</t>
  </si>
  <si>
    <t xml:space="preserve">ATALANTA BERGAMASCA C.SRL</t>
  </si>
  <si>
    <t xml:space="preserve">COLOGNO AL SERIO - VIA DELLE GALOSE/BETOSCA</t>
  </si>
  <si>
    <t xml:space="preserve">REAL CALEPINA F.C. SSDARL</t>
  </si>
  <si>
    <t xml:space="preserve">TREVIGLIESE S.S.D. A.R.L.</t>
  </si>
  <si>
    <t xml:space="preserve">GRUMELLO DEL MONTE - VIA DON PIETRO BELOTTI</t>
  </si>
  <si>
    <t xml:space="preserve">AURORA SERIATE 1967</t>
  </si>
  <si>
    <t xml:space="preserve">UESSE SARNICO 1908</t>
  </si>
  <si>
    <t xml:space="preserve">SERIATE - VIA DECO' E CANETTA 66</t>
  </si>
  <si>
    <t xml:space="preserve">CISANESE A.S.D.</t>
  </si>
  <si>
    <t xml:space="preserve">VILLA VALLE SSD ARL</t>
  </si>
  <si>
    <t xml:space="preserve">CISANO BERGAMASCO - VIA CA'DE VOLPI,7</t>
  </si>
  <si>
    <t xml:space="preserve">17:30</t>
  </si>
  <si>
    <t xml:space="preserve">VILLA D'ALME' - VIA RONCO BASSO, 5</t>
  </si>
  <si>
    <t xml:space="preserve">PONTE SAN PIETRO - VIA TRENTO TRIESTE</t>
  </si>
  <si>
    <t xml:space="preserve">BREMBATE - VIA ORATORIO,20</t>
  </si>
  <si>
    <t xml:space="preserve">TREVIGLIO - VIA MALGARI 1</t>
  </si>
  <si>
    <t xml:space="preserve">SARNICO - VIA DONATORI DEL SANGUE, 5</t>
  </si>
  <si>
    <t xml:space="preserve">VIRTUSCISERANOBERGAMO1909</t>
  </si>
  <si>
    <t xml:space="preserve">CARAVAGGIO SRL</t>
  </si>
  <si>
    <t xml:space="preserve">B</t>
  </si>
  <si>
    <t xml:space="preserve">16:15</t>
  </si>
  <si>
    <t xml:space="preserve">CISERANO - VIA MAZZINI 13</t>
  </si>
  <si>
    <t xml:space="preserve">ALBINOLEFFE S.R.L.</t>
  </si>
  <si>
    <t xml:space="preserve">JUVENES GIANNI RADICI</t>
  </si>
  <si>
    <t xml:space="preserve">15:45</t>
  </si>
  <si>
    <t xml:space="preserve">ZANICA - VIA COMUN NUOVO 26-28</t>
  </si>
  <si>
    <t xml:space="preserve">FIORENTE 1946 COLOGNOLA</t>
  </si>
  <si>
    <t xml:space="preserve">SCANZOROSCIATE CALCIO ASD</t>
  </si>
  <si>
    <t xml:space="preserve">BERGAMO Q.RE COLOGNOLA - VIA S.SISTO,9</t>
  </si>
  <si>
    <t xml:space="preserve">G.S. VERTOVESE  SSDARL</t>
  </si>
  <si>
    <t xml:space="preserve">TRITIUM CALCIO 1908 A RL</t>
  </si>
  <si>
    <t xml:space="preserve">VERTOVA - VIA FORNI,28</t>
  </si>
  <si>
    <t xml:space="preserve">CALCIO BRUSAPORTO</t>
  </si>
  <si>
    <t xml:space="preserve">VALCALEPIO JUNIOR SRL</t>
  </si>
  <si>
    <t xml:space="preserve">BRUSAPORTO - VIA BELVEDERE 1</t>
  </si>
  <si>
    <t xml:space="preserve">14:15</t>
  </si>
  <si>
    <t xml:space="preserve">CARAVAGGIO - VIA G.CASTOLDI,11</t>
  </si>
  <si>
    <t xml:space="preserve">CASNIGO - VIA EUROPA</t>
  </si>
  <si>
    <t xml:space="preserve">TREZZO SULL'ADDA - VIA ROCCA, 19</t>
  </si>
  <si>
    <t xml:space="preserve">CASTELLI CALEPIO/FRAZ.CIVIDINO - VIA FERRUCCI</t>
  </si>
  <si>
    <t xml:space="preserve">SCANZOROSCIATE - VIA POLCAREZZO 2</t>
  </si>
  <si>
    <t xml:space="preserve">BREMBATE SOPRA C.1947 ASD</t>
  </si>
  <si>
    <t xml:space="preserve">A.C. PONTE S.P. - MAPsq.C</t>
  </si>
  <si>
    <t xml:space="preserve">C</t>
  </si>
  <si>
    <t xml:space="preserve">BREMBATE DI SOPRA VIA DON GIOVANNI SALA SNC</t>
  </si>
  <si>
    <t xml:space="preserve">ALME</t>
  </si>
  <si>
    <t xml:space="preserve">ACCADEMIA SPORTIMAGNA</t>
  </si>
  <si>
    <t xml:space="preserve">ALME' VIA OLIMPIA 8</t>
  </si>
  <si>
    <t xml:space="preserve">U.S.CALCIO SAN PELLEGRINO</t>
  </si>
  <si>
    <t xml:space="preserve">SAN PELLEGRINO TERME VIA B.BELOTTI 2</t>
  </si>
  <si>
    <t xml:space="preserve">ZOGNESE</t>
  </si>
  <si>
    <t xml:space="preserve">FIORENTE 1946 COLOGNOSQ.B</t>
  </si>
  <si>
    <t xml:space="preserve">ZOGNO VIA CAMANCHE SNC</t>
  </si>
  <si>
    <t xml:space="preserve">PALADINA</t>
  </si>
  <si>
    <t xml:space="preserve">LEMINE ALMENNO CALCIO</t>
  </si>
  <si>
    <t xml:space="preserve">PALADINA VIA DEGLI ALPINI 1</t>
  </si>
  <si>
    <t xml:space="preserve">BERGAMO Q.RE LORETO VIA MEUCCI</t>
  </si>
  <si>
    <t xml:space="preserve">ALMENNO SAN SALVATORE VIA LEMEN N1</t>
  </si>
  <si>
    <t xml:space="preserve">BERGAMO Q.RE COLOGNOLA VIA S.SISTO 9</t>
  </si>
  <si>
    <t xml:space="preserve">17:40</t>
  </si>
  <si>
    <t xml:space="preserve">MAPELLO VIA DEL LAZZARINO 1</t>
  </si>
  <si>
    <t xml:space="preserve">SANT'OMOBONO TERME VIA ALLE FONTI 2</t>
  </si>
  <si>
    <t xml:space="preserve">ACCADEMIA ISOLABERGAMASCA</t>
  </si>
  <si>
    <t xml:space="preserve">E</t>
  </si>
  <si>
    <t xml:space="preserve">17:45</t>
  </si>
  <si>
    <t xml:space="preserve">LALLIO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</si>
  <si>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</si>
  <si>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</si>
  <si>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</si>
  <si>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</si>
  <si>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 VIA OLIMPIA 8</t>
  </si>
  <si>
    <t xml:space="preserve">ORIO PEGU A.S.D.</t>
  </si>
  <si>
    <t xml:space="preserve">MONVICO A.S.D.</t>
  </si>
  <si>
    <t xml:space="preserve">ORIO AL SERIO VIA AEROPORTO</t>
  </si>
  <si>
    <t xml:space="preserve">08/02/2026</t>
  </si>
  <si>
    <t xml:space="preserve">FOOTBALL AMBIVERE</t>
  </si>
  <si>
    <t xml:space="preserve">AZZANO CALCIO ASD SQ.B</t>
  </si>
  <si>
    <t xml:space="preserve">09:00</t>
  </si>
  <si>
    <t xml:space="preserve">AMBIVERE VIA LEOPARDI SNC</t>
  </si>
  <si>
    <t xml:space="preserve">FILAGO VIA ANTONIO LOCATELLI 42</t>
  </si>
  <si>
    <t xml:space="preserve">ALMENNO SAN SALVATORE VIA LEMEN 1</t>
  </si>
  <si>
    <t xml:space="preserve">17:00</t>
  </si>
  <si>
    <t xml:space="preserve">CARVICO VIA PEDRAZZI</t>
  </si>
  <si>
    <t xml:space="preserve">BONATE SOTTO VIA GARIBALDI 15</t>
  </si>
  <si>
    <t xml:space="preserve">15/02/2026</t>
  </si>
  <si>
    <t xml:space="preserve">14:00</t>
  </si>
  <si>
    <t xml:space="preserve">AZZANO SAN PAOLO VIA STEZZANO 33</t>
  </si>
  <si>
    <t xml:space="preserve">22/02/2026</t>
  </si>
  <si>
    <t xml:space="preserve">12/04/2026</t>
  </si>
  <si>
    <t xml:space="preserve"> VIRTUSCISERANOBERGAMO1909</t>
  </si>
  <si>
    <t xml:space="preserve"> CALCIO BRUSAPORTO</t>
  </si>
  <si>
    <t xml:space="preserve">Esordienti 2014</t>
  </si>
  <si>
    <t xml:space="preserve"> Ciserano VIA MAZZINI 13</t>
  </si>
  <si>
    <t xml:space="preserve"> Ritorno</t>
  </si>
  <si>
    <t xml:space="preserve"> A.C. PONTE S.P. - MAPELLO</t>
  </si>
  <si>
    <t xml:space="preserve"> CISANESE A.S.D.</t>
  </si>
  <si>
    <t xml:space="preserve"> Mapello VIA DEL LAZZARINO 1</t>
  </si>
  <si>
    <t xml:space="preserve"> ALBINOLEFFE S.R.L.</t>
  </si>
  <si>
    <t xml:space="preserve"> COLOGNESE</t>
  </si>
  <si>
    <t xml:space="preserve"> 15:45</t>
  </si>
  <si>
    <t xml:space="preserve"> Zanica VIA COMUN NUOVO 26-28</t>
  </si>
  <si>
    <t xml:space="preserve"> VILLA VALLE SSD ARL</t>
  </si>
  <si>
    <t xml:space="preserve"> TREVIGLIESE S.S.D. A.R.L.</t>
  </si>
  <si>
    <t xml:space="preserve"> Villa Dalme VIA RONCO BASSO 5</t>
  </si>
  <si>
    <t xml:space="preserve"> 16:30</t>
  </si>
  <si>
    <t xml:space="preserve"> Treviglio VIA MALGARI 1</t>
  </si>
  <si>
    <t xml:space="preserve"> UESSE SARNICO 1908</t>
  </si>
  <si>
    <t xml:space="preserve"> Cologno Al Serio VIA DELLE GALOSE BETOSCA</t>
  </si>
  <si>
    <t xml:space="preserve"> 14:00</t>
  </si>
  <si>
    <t xml:space="preserve"> Brusaporto VIA BELVEDERE 1</t>
  </si>
  <si>
    <t xml:space="preserve"> Sarnico VIA DONATORI DEL SANGUE 5</t>
  </si>
  <si>
    <t xml:space="preserve"> Cisano Bergamasco VIA CADE VOLPI 7</t>
  </si>
  <si>
    <t xml:space="preserve">07/02/2026 </t>
  </si>
  <si>
    <t xml:space="preserve"> ORATORIO URGNANESE CASQ.B </t>
  </si>
  <si>
    <t xml:space="preserve"> ACCADEMIA CALCIO A.S.D. </t>
  </si>
  <si>
    <t xml:space="preserve"> URGNANO VIA LARGO DELLO SPORT 127 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</si>
  <si>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</si>
  <si>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</si>
  <si>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</si>
  <si>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</si>
  <si>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 BAGNATICA VIA PORTICO 16 </t>
  </si>
  <si>
    <t xml:space="preserve"> U.S.O. ZANICA ASD </t>
  </si>
  <si>
    <t xml:space="preserve"> CITTA DI ALZANO1921 Asq.B </t>
  </si>
  <si>
    <t xml:space="preserve"> 15:45 </t>
  </si>
  <si>
    <t xml:space="preserve"> ZANICA (campo non specificato</t>
  </si>
  <si>
    <t xml:space="preserve"> AZZANO CALCIO ASD SQ.B </t>
  </si>
  <si>
    <t xml:space="preserve"> LA TORRE CALCIO A.S.DSQ.B </t>
  </si>
  <si>
    <t xml:space="preserve"> 16:30 </t>
  </si>
  <si>
    <t xml:space="preserve"> AZZANO SAN PAOLO VIA STEZZANO 33 </t>
  </si>
  <si>
    <t xml:space="preserve"> CALCIO PEDRENGO C.S.D.ASD </t>
  </si>
  <si>
    <t xml:space="preserve"> NEMBRESE 1913 </t>
  </si>
  <si>
    <t xml:space="preserve"> PEDRENGO VIA GIARDINI 12/A </t>
  </si>
  <si>
    <t xml:space="preserve">14/02/2026 </t>
  </si>
  <si>
    <t xml:space="preserve"> 14:30 </t>
  </si>
  <si>
    <t xml:space="preserve"> NEMBRO VIA NEMBRINI SNC </t>
  </si>
  <si>
    <t xml:space="preserve"> ALZANO LOMBARDO VIA GRAZIOLI ANG.BALDUZZI 11 </t>
  </si>
  <si>
    <t xml:space="preserve"> 15:00 </t>
  </si>
  <si>
    <t xml:space="preserve"> PALADINA VIA DEGLI ALPINI N.1 </t>
  </si>
  <si>
    <t xml:space="preserve"> BRUSAPORTO VIA BELVEDERE 1 </t>
  </si>
  <si>
    <t xml:space="preserve">15/02/2026 </t>
  </si>
  <si>
    <t xml:space="preserve"> 09:15 </t>
  </si>
  <si>
    <t xml:space="preserve"> TORRE BOLDONE VIALE LOMBARDIA 44 </t>
  </si>
  <si>
    <t xml:space="preserve">21/02/2026 </t>
  </si>
  <si>
    <t xml:space="preserve"> ZANICA (campo non specificato)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</si>
  <si>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</si>
  <si>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</si>
  <si>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</si>
  <si>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</si>
  <si>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</si>
  <si>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</si>
  <si>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</si>
  <si>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</si>
  <si>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</si>
  <si>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G.S. VERTOVESE SSDARL</t>
  </si>
  <si>
    <t xml:space="preserve">A.C. PONTE S.P. - MAPSQ.B</t>
  </si>
  <si>
    <t xml:space="preserve">VERTOVA VIA FORNI 28</t>
  </si>
  <si>
    <t xml:space="preserve">CALCIO GORLE A.S.D.</t>
  </si>
  <si>
    <t xml:space="preserve">GORLE VIA ROMA 2A</t>
  </si>
  <si>
    <t xml:space="preserve">PONTISOLA CALCIO</t>
  </si>
  <si>
    <t xml:space="preserve">CURNO FRAZIONE MARIGOLDA VIA ABRUZZI 9</t>
  </si>
  <si>
    <t xml:space="preserve">GRUMELLO DEL MONTE VIA DON PIETRO BELOTTI</t>
  </si>
  <si>
    <t xml:space="preserve">UESSE SARNICO 1908 SQ.B</t>
  </si>
  <si>
    <t xml:space="preserve">CARAVAGGIO VIA G.CASTOLDI 11</t>
  </si>
  <si>
    <t xml:space="preserve">BREMBATE VIA ORATORIO 20</t>
  </si>
  <si>
    <t xml:space="preserve">SARNICO VIA OLIMPIA 4</t>
  </si>
  <si>
    <t xml:space="preserve">TREZZO SULL'ADDA VIA ROCCA 19</t>
  </si>
  <si>
    <t xml:space="preserve">SCANZOROSCIATE VIA POLCAREZZO 2</t>
  </si>
  <si>
    <t xml:space="preserve">CITTA DI ALZANO1921 ASD</t>
  </si>
  <si>
    <t xml:space="preserve">ARES REDONA</t>
  </si>
  <si>
    <t xml:space="preserve">ALZANO LOMBARDO VIA GRAZIOLI ANG BALDUZZI 11</t>
  </si>
  <si>
    <t xml:space="preserve">RITORNO</t>
  </si>
  <si>
    <t xml:space="preserve">ROVETTA U.S. A.S.D. SQ.B</t>
  </si>
  <si>
    <t xml:space="preserve">ORATORIO SAN TOMASO</t>
  </si>
  <si>
    <t xml:space="preserve">ROVETTA VIA PAPA GIOVANNI XXIII 12C</t>
  </si>
  <si>
    <t xml:space="preserve">RANICA CALCIO</t>
  </si>
  <si>
    <t xml:space="preserve">SAN PELLEGRINO TERME VIA B BELOTTI 2</t>
  </si>
  <si>
    <t xml:space="preserve">BERGAMO Q.RE S TOMASO VIA SAN TOMASO DE CALVI 26</t>
  </si>
  <si>
    <t xml:space="preserve">RANICA PIAZZA L BERTETT SNC</t>
  </si>
  <si>
    <t xml:space="preserve">BERGAMO Q.RE REDONA VIA GOISIS</t>
  </si>
  <si>
    <t xml:space="preserve">BERGAMO Q.RE COLOGNOLA VIA S SISTO 9</t>
  </si>
  <si>
    <t xml:space="preserve">08/03/2026</t>
  </si>
  <si>
    <t xml:space="preserve">22/03/2026</t>
  </si>
  <si>
    <t xml:space="preserve">Oratorio Urgnanese Calcio</t>
  </si>
  <si>
    <t xml:space="preserve">Brembate Sopra C.1947 ASD</t>
  </si>
  <si>
    <t xml:space="preserve">Urgnano VIA LARGO DELLO SPORT 127</t>
  </si>
  <si>
    <t xml:space="preserve">Lallio Calcio</t>
  </si>
  <si>
    <t xml:space="preserve">Bonate Sotto VIA GARIBALDI 15</t>
  </si>
  <si>
    <t xml:space="preserve">Locate Bergamasco A.S.D.</t>
  </si>
  <si>
    <t xml:space="preserve">Monvico A.S.D.</t>
  </si>
  <si>
    <t xml:space="preserve">Ponte San Pietro fraz. Locate VIA RIMEMBRANZE 14</t>
  </si>
  <si>
    <t xml:space="preserve">Accademia Sportimagna</t>
  </si>
  <si>
    <t xml:space="preserve">Oriens Oratorio Brembate</t>
  </si>
  <si>
    <t xml:space="preserve">Sant'Omobono Terme VIA ALLE FONTI 2</t>
  </si>
  <si>
    <t xml:space="preserve">Azzano Calcio ASD</t>
  </si>
  <si>
    <t xml:space="preserve">Pontisola Calcio SQ.B</t>
  </si>
  <si>
    <t xml:space="preserve">Azzano San Paolo VIA STEZZANO 33</t>
  </si>
  <si>
    <t xml:space="preserve">Curno fz. Marigolda VIA ABRUZZI 9</t>
  </si>
  <si>
    <t xml:space="preserve">Brembate di Sopra VIA DON GIOVANNI SALA SNC</t>
  </si>
  <si>
    <t xml:space="preserve">Lallio VIA GRAZIA DELEDDA</t>
  </si>
  <si>
    <t xml:space="preserve">Carvico VIA PEDRAZZI</t>
  </si>
  <si>
    <t xml:space="preserve">Brembate VIA MARCONI</t>
  </si>
  <si>
    <t xml:space="preserve">Urgano VIA LARGO DELLO SPORT 127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</si>
  <si>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</si>
  <si>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</si>
  <si>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</si>
  <si>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</si>
  <si>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 A.C. PONTE S.P. MAPELLO</t>
  </si>
  <si>
    <t xml:space="preserve">Pulcini 2015</t>
  </si>
  <si>
    <t xml:space="preserve">Andata</t>
  </si>
  <si>
    <t xml:space="preserve"> 17:30</t>
  </si>
  <si>
    <t xml:space="preserve"> PONTE SAN PIETRO ZONA CLINICA VIA XXIV MAGGIO</t>
  </si>
  <si>
    <t xml:space="preserve"> CARAVAGGIO SRL</t>
  </si>
  <si>
    <t xml:space="preserve"> ZANICA VIA COMUN NUOVO 26-28</t>
  </si>
  <si>
    <t xml:space="preserve"> BRUSAPORTO VIA BELVEDERE 1</t>
  </si>
  <si>
    <t xml:space="preserve"> SCANZOROSCIATE CALCIO ASD</t>
  </si>
  <si>
    <t xml:space="preserve"> ATALANTA BERGAMASCA C.SRL</t>
  </si>
  <si>
    <t xml:space="preserve"> SCANZOROSCIATE VIA POLCAREZZO 2</t>
  </si>
  <si>
    <t xml:space="preserve"> TRITIUM CALCIO 1908 A RL</t>
  </si>
  <si>
    <t xml:space="preserve"> VILLA D'ALME' VIA RONCO BASSO 5</t>
  </si>
  <si>
    <t xml:space="preserve"> BREMBATE VIA ORATORIO 20</t>
  </si>
  <si>
    <t xml:space="preserve"> 14:15</t>
  </si>
  <si>
    <t xml:space="preserve"> CARAVAGGIO VIA G.CASTOLDI 11</t>
  </si>
  <si>
    <t xml:space="preserve"> TREZZO SULL'ADDA VIA ROCCA 19</t>
  </si>
  <si>
    <t xml:space="preserve"> SARNICO VIA OLIMPIA 4</t>
  </si>
  <si>
    <t xml:space="preserve"> CISERANO VIA MAZZINI 13</t>
  </si>
  <si>
    <t xml:space="preserve">ALMENNO SAN BARTOLOMEO VIA F.LLI RONCELLI 2</t>
  </si>
  <si>
    <t xml:space="preserve">VILLA VALLE SSD ARL SQ.B</t>
  </si>
  <si>
    <t xml:space="preserve">VILLA D'ALME' VIA RONCO BASSO 5</t>
  </si>
  <si>
    <t xml:space="preserve">PONTE SAN PIETRO ZONA CLINICA VIA XXIV MAGGIO</t>
  </si>
  <si>
    <t xml:space="preserve">BERBENNO VIA STOPPANI 114</t>
  </si>
  <si>
    <t xml:space="preserve">LA PASSIONE DI YARA A.S.D</t>
  </si>
  <si>
    <t xml:space="preserve">PALADINA VIA DEGLI ALPINI N.1</t>
  </si>
  <si>
    <t xml:space="preserve"> Accademia PBC Gera DASQ.B</t>
  </si>
  <si>
    <t xml:space="preserve"> F</t>
  </si>
  <si>
    <t xml:space="preserve"> PONTIROLO NUOVO VIA ARMANDO DIAZ 22</t>
  </si>
  <si>
    <t xml:space="preserve"> Azzano Calcio ASD</t>
  </si>
  <si>
    <t xml:space="preserve"> AZZANO SAN PAOLO VIA STEZZANO 33</t>
  </si>
  <si>
    <t xml:space="preserve"> Colognese</t>
  </si>
  <si>
    <t xml:space="preserve"> COLOGNO AL SERIO VIA DELLE GALOSE SNC</t>
  </si>
  <si>
    <t xml:space="preserve"> Focs ASD SQ.B</t>
  </si>
  <si>
    <t xml:space="preserve"> FARA OLIVANA CON SOLA VIA VITTORIO EMANUELE SNC</t>
  </si>
  <si>
    <t xml:space="preserve"> Calcio Gorle A.S.D.</t>
  </si>
  <si>
    <t xml:space="preserve"> GORLE VIA ROMA 2/A</t>
  </si>
  <si>
    <t xml:space="preserve"> Fiorente 1946 Colognola</t>
  </si>
  <si>
    <t xml:space="preserve"> BERGAMO Q.RE COLOGNOLA VIA S.SISTO 9</t>
  </si>
  <si>
    <t xml:space="preserve"> Oratorio Cortenuova</t>
  </si>
  <si>
    <t xml:space="preserve"> CORTENUOVA VIA GAETANO DONIZETTI</t>
  </si>
  <si>
    <t xml:space="preserve"> Oratorio Urgnanese Calcio</t>
  </si>
  <si>
    <t xml:space="preserve"> URGNANO VIA ROMA 72</t>
  </si>
  <si>
    <t xml:space="preserve"> Aurora Seriate 1967</t>
  </si>
  <si>
    <t xml:space="preserve"> SERIATE VIA DECO' E CANETTA 66</t>
  </si>
  <si>
    <t xml:space="preserve"> ALME</t>
  </si>
  <si>
    <t xml:space="preserve">ALME' VIA OLIMPIA8</t>
  </si>
  <si>
    <t xml:space="preserve"> LALLIO CALCIO</t>
  </si>
  <si>
    <t xml:space="preserve">LALLIO VIA EVARISTO BASCHENIS</t>
  </si>
  <si>
    <t xml:space="preserve"> MONVICO A.S.D. SQ.B</t>
  </si>
  <si>
    <t xml:space="preserve"> PONTISOLA CALCIO SQ.B</t>
  </si>
  <si>
    <t xml:space="preserve"> ACCADEMIA SPORTIMAGNASQ.B</t>
  </si>
  <si>
    <t xml:space="preserve">BERBENNO VIA STOPPANI114</t>
  </si>
  <si>
    <t xml:space="preserve"> PONTERANICA</t>
  </si>
  <si>
    <t xml:space="preserve">PONTERANICA VIA 8 MARZO13</t>
  </si>
  <si>
    <t xml:space="preserve"> TREALBE CALCIO A.S.D.</t>
  </si>
  <si>
    <t xml:space="preserve">ALBEGNO FRAZ. TREVIOLO PIAZZA DELLA CONCILIAZIONE</t>
  </si>
  <si>
    <t xml:space="preserve"> ZOGNESE</t>
  </si>
  <si>
    <t xml:space="preserve">ZOGNO VIA CAMANCHE SNC - CAMANGHE</t>
  </si>
  <si>
    <t xml:space="preserve">CISANO BERGAMASCO VIA CA' DE' VOLPI N°7</t>
  </si>
  <si>
    <t xml:space="preserve"> Azzano Calcio ASD SQ.B </t>
  </si>
  <si>
    <t xml:space="preserve"> H </t>
  </si>
  <si>
    <t xml:space="preserve"> Azzano San Paolo Via Stezzano 33</t>
  </si>
  <si>
    <t xml:space="preserve"> Città di Alzano 1921 ASD </t>
  </si>
  <si>
    <t xml:space="preserve"> Alzano Lombardo Via Europa 50</t>
  </si>
  <si>
    <t xml:space="preserve"> Fiorente 1946 Cologno SQ.B </t>
  </si>
  <si>
    <t xml:space="preserve"> Stezzano Via Circonvallazione Ovest 33</t>
  </si>
  <si>
    <t xml:space="preserve"> Polisportiva Dei Colli </t>
  </si>
  <si>
    <t xml:space="preserve"> Bergamo Q.re Valtesse Via Baioni 16</t>
  </si>
  <si>
    <t xml:space="preserve"> Calcio Gorle ASD SQ.B </t>
  </si>
  <si>
    <t xml:space="preserve"> 14:00 </t>
  </si>
  <si>
    <t xml:space="preserve"> Gorle Via Roma 2/A</t>
  </si>
  <si>
    <t xml:space="preserve"> La Torre Calcio ASD </t>
  </si>
  <si>
    <t xml:space="preserve"> 16:15 </t>
  </si>
  <si>
    <t xml:space="preserve"> Torre Boldone Viale Lombardia 44</t>
  </si>
  <si>
    <t xml:space="preserve"> Malpensata Campagnola </t>
  </si>
  <si>
    <t xml:space="preserve"> 14:45 </t>
  </si>
  <si>
    <t xml:space="preserve"> Bergamo Q.re Campagnola Via Gasparini</t>
  </si>
  <si>
    <t xml:space="preserve"> Rovetta U.S. ASD SQ.B </t>
  </si>
  <si>
    <t xml:space="preserve"> 16:00 </t>
  </si>
  <si>
    <t xml:space="preserve"> Onore Via Corni 376</t>
  </si>
  <si>
    <t xml:space="preserve"> Ares Redona </t>
  </si>
  <si>
    <t xml:space="preserve"> 14:15 </t>
  </si>
  <si>
    <t xml:space="preserve"> Bergamo Q.re Redona Via Goisis</t>
  </si>
  <si>
    <t xml:space="preserve"> G</t>
  </si>
  <si>
    <t xml:space="preserve"> FIGC​</t>
  </si>
  <si>
    <t xml:space="preserve">Pulcini 2016</t>
  </si>
  <si>
    <t xml:space="preserve"> A </t>
  </si>
  <si>
    <t xml:space="preserve"> PONTE SAN PIETRO ZONA CLINICA VIA XXIV MAGGIO ​</t>
  </si>
  <si>
    <t xml:space="preserve"> BREMBATE VIA ORATORIO 20 ​</t>
  </si>
  <si>
    <t xml:space="preserve"> BRUSAPORTO VIA BELVEDERE 1 ​</t>
  </si>
  <si>
    <t xml:space="preserve"> SCANZOROSCIATE VIA POLCAREZZO 2 ​</t>
  </si>
  <si>
    <t xml:space="preserve"> TREZZO SULL'ADDA VIA ROCCA 19 ​</t>
  </si>
  <si>
    <t xml:space="preserve"> ZANICA VIA COMUN NUOVO 26-28 ​</t>
  </si>
  <si>
    <t xml:space="preserve"> CARAVAGGIO VIA G.CASTOLDI 11 ​</t>
  </si>
  <si>
    <t xml:space="preserve"> SARNICO VIA OLIMPIA 4 ​</t>
  </si>
  <si>
    <t xml:space="preserve"> 17:00 </t>
  </si>
  <si>
    <t xml:space="preserve"> VILLA D'ALME' VIA RONCO BASSO 15 ​</t>
  </si>
  <si>
    <t xml:space="preserve"> CISERANO VIA MAZZINI 13 </t>
  </si>
  <si>
    <t xml:space="preserve"> ACCADEMIA CALCIO A.S.D.</t>
  </si>
  <si>
    <t xml:space="preserve"> B </t>
  </si>
  <si>
    <t xml:space="preserve"> PALADINA VIA DEGLI ALPINI N.1 ​</t>
  </si>
  <si>
    <t xml:space="preserve"> CISANO BERGAMASCO VIA CA' DE' VOLPI N°7 ​</t>
  </si>
  <si>
    <t xml:space="preserve"> FOCS ASD SQ.C</t>
  </si>
  <si>
    <t xml:space="preserve"> 11:00 </t>
  </si>
  <si>
    <t xml:space="preserve"> FARA OLIVANA CON SOLA VIA VITTORIO EMANUELE SNC ​</t>
  </si>
  <si>
    <t xml:space="preserve"> MONVICO A.S.D.</t>
  </si>
  <si>
    <t xml:space="preserve"> CARVICO VIA PEDRAZZI ​</t>
  </si>
  <si>
    <t xml:space="preserve"> ORIENS ORATORIO BREMBATE</t>
  </si>
  <si>
    <t xml:space="preserve"> BREMBATE VIA MARCONI ​</t>
  </si>
  <si>
    <t xml:space="preserve"> ACCADEMIA ISOLABERGAMASCA</t>
  </si>
  <si>
    <t xml:space="preserve"> BONATE SOTTO VIA GIUSEPPE GARIBALDI 15 ​</t>
  </si>
  <si>
    <t xml:space="preserve"> BREMBATE SOPRA C.1947 ASD</t>
  </si>
  <si>
    <t xml:space="preserve"> BREMBATE DI SOPRA VIA DON GIOVANNI SALA SNC ​</t>
  </si>
  <si>
    <t xml:space="preserve"> TRITIUM CALCIO 1908 ASQ.B</t>
  </si>
  <si>
    <t xml:space="preserve"> VILLA VALLE SSD ARL SQ.B</t>
  </si>
  <si>
    <t xml:space="preserve"> VILLA D'ALME' VIA RONCO BASSO 15 </t>
  </si>
  <si>
    <t xml:space="preserve"> C </t>
  </si>
  <si>
    <t xml:space="preserve"> TREVIGLIO VIA MILANO N.7 ​</t>
  </si>
  <si>
    <t xml:space="preserve"> COLOGNO AL SERIO VIA DELLE GALOSE SNC ​</t>
  </si>
  <si>
    <t xml:space="preserve">FOCS ASD</t>
  </si>
  <si>
    <t xml:space="preserve">FORZA E COSTANZA 1905 ASD</t>
  </si>
  <si>
    <t xml:space="preserve"> MARTINENGO VIA DE GASPERI ​</t>
  </si>
  <si>
    <t xml:space="preserve"> TREVIGLIO VIA AI MALGARI 1 ​</t>
  </si>
  <si>
    <t xml:space="preserve"> MAPELLO VIA DEL LAZZARINO 1 ​</t>
  </si>
  <si>
    <t xml:space="preserve">ACCADEMIA ISOLABERGAMSQ.B</t>
  </si>
  <si>
    <t xml:space="preserve">ACCADEMIA PBC GERA DADDA</t>
  </si>
  <si>
    <t xml:space="preserve"> PONTIROLO NUOVO VIA ARMANDO DIAZ 22 ​</t>
  </si>
  <si>
    <t xml:space="preserve">CALCIO ORATORIO COLOGNO</t>
  </si>
  <si>
    <t xml:space="preserve"> 17:15 </t>
  </si>
  <si>
    <t xml:space="preserve"> COLOGNO AL SERIO VIA DELLE GALOSE/BETOSCA(E.A.) ​</t>
  </si>
  <si>
    <t xml:space="preserve">U.S.O. ZANICA ASD</t>
  </si>
  <si>
    <t xml:space="preserve"> ZANICA P.LE MERCATO 1 </t>
  </si>
  <si>
    <t xml:space="preserve">CALCENSE</t>
  </si>
  <si>
    <t xml:space="preserve"> D </t>
  </si>
  <si>
    <t xml:space="preserve"> CALCIO VIA SCHIEPPATI 23 ​</t>
  </si>
  <si>
    <t xml:space="preserve">CIVIDATE PONTOGLIO FC ASD</t>
  </si>
  <si>
    <t xml:space="preserve"> PONTOGLIO VIA LEOPARDI ​</t>
  </si>
  <si>
    <t xml:space="preserve">SPORT CASAZZA</t>
  </si>
  <si>
    <t xml:space="preserve"> CASAZZA PIAZZA PIEVE 4 ​</t>
  </si>
  <si>
    <t xml:space="preserve">VIRTUS PALOSCO S.S.D. ARL</t>
  </si>
  <si>
    <t xml:space="preserve"> PALOSCO VIA DONIZETTI 9/11 ​</t>
  </si>
  <si>
    <t xml:space="preserve"> BERGAMO Q.RE COLOGNOLA VIA S.SISTO 9 ​</t>
  </si>
  <si>
    <t xml:space="preserve">REAL BOLGARE</t>
  </si>
  <si>
    <t xml:space="preserve"> BOLGARE VIA ORIANA FALLACI ​</t>
  </si>
  <si>
    <t xml:space="preserve"> VILLONGO/FRAZ.SAN FILASTRO VIA CAMOZZI SNC ​</t>
  </si>
  <si>
    <t xml:space="preserve"> CASTELLI CALEPIO/FRAZ.CIVIDINO VIA FERRUCCI ​</t>
  </si>
  <si>
    <t xml:space="preserve">JUVENES GIANNI RADICISQ.C</t>
  </si>
  <si>
    <t xml:space="preserve"> CASNIGO VIA EUROPA </t>
  </si>
  <si>
    <t xml:space="preserve">CIVIDATE PONTOGLIO FCsq.B</t>
  </si>
  <si>
    <t xml:space="preserve"> E </t>
  </si>
  <si>
    <t xml:space="preserve">FOCS ASD SQ.B</t>
  </si>
  <si>
    <t xml:space="preserve"> </t>
  </si>
  <si>
    <t xml:space="preserve">ORATORIO CALVENZANO</t>
  </si>
  <si>
    <t xml:space="preserve"> CALVENZANO VIA ROMA 10 ​</t>
  </si>
  <si>
    <t xml:space="preserve">TREVIGLIESE S.S.D. A.SQ.B</t>
  </si>
  <si>
    <t xml:space="preserve">AZZANO CALCIO ASD</t>
  </si>
  <si>
    <t xml:space="preserve"> AZZANO SAN PAOLO VIA STEZZANO 33 ​</t>
  </si>
  <si>
    <t xml:space="preserve">ORATORIO CORTENUOVA</t>
  </si>
  <si>
    <t xml:space="preserve"> CORTENUOVA VIA GAETANO DONIZETTI ​</t>
  </si>
  <si>
    <t xml:space="preserve">ACCADEMIA PBC GERA DASQ.B</t>
  </si>
  <si>
    <t xml:space="preserve"> PONTIROLO NUOVO VIA ARMANDO DIAZ 22 </t>
  </si>
  <si>
    <t xml:space="preserve">ORATORIO DI STEZZANO 2006</t>
  </si>
  <si>
    <t xml:space="preserve">STEZZANO VIA BERGAMO 13</t>
  </si>
  <si>
    <t xml:space="preserve"> CALCIO PEDRENGO C.S.D.ASD</t>
  </si>
  <si>
    <t xml:space="preserve">PEDRENGO VIA GIARDINI 12/A​</t>
  </si>
  <si>
    <t xml:space="preserve"> GORLAGO 1973</t>
  </si>
  <si>
    <t xml:space="preserve">GORLAGO VIA BRUNO CORALI 1​</t>
  </si>
  <si>
    <t xml:space="preserve">PONTERANICA VIA 8 MARZO 13​</t>
  </si>
  <si>
    <t xml:space="preserve">ONORE VIA CORNI 376​</t>
  </si>
  <si>
    <t xml:space="preserve"> JUVENES GIANNI RADICI</t>
  </si>
  <si>
    <t xml:space="preserve">CASNIGO VIA EUROPA​</t>
  </si>
  <si>
    <t xml:space="preserve"> JUVENES GIANNI RADICIsq.E</t>
  </si>
  <si>
    <t xml:space="preserve">PARRE VIA ROMA 33​</t>
  </si>
  <si>
    <t xml:space="preserve">LALLIO VIA EVARISTO BASCHENIS​</t>
  </si>
  <si>
    <t xml:space="preserve">NEMBRO VIA NEMBRINI SNC​</t>
  </si>
  <si>
    <t xml:space="preserve">TORRE BOLDONE VIALE LOMBARDIA 44</t>
  </si>
  <si>
    <t xml:space="preserve">ALME' VIA OLIMPIA 8​</t>
  </si>
  <si>
    <t xml:space="preserve">SERIATE VIA DECO' E CANETTA 66​</t>
  </si>
  <si>
    <t xml:space="preserve">POLISPORTIVA 2 LAGHI SSD</t>
  </si>
  <si>
    <t xml:space="preserve">SOVERE VIA CANNETO 4​</t>
  </si>
  <si>
    <t xml:space="preserve">RANICA PIAZZA L. BERTETT SNC​</t>
  </si>
  <si>
    <t xml:space="preserve">JUVENES GIANNI RADICIsq.D</t>
  </si>
  <si>
    <t xml:space="preserve">JUVENES GIANNI RADICISQ.B</t>
  </si>
  <si>
    <t xml:space="preserve">NOVA MONTELLO</t>
  </si>
  <si>
    <t xml:space="preserve">MONTELLO VIA L.ARIOSTO​</t>
  </si>
  <si>
    <t xml:space="preserve">ZOGNO VIA CAMANCHE SNC - CAMANGHE​</t>
  </si>
  <si>
    <t xml:space="preserve">ORIENS ORATORIO BREMBATE</t>
  </si>
  <si>
    <t xml:space="preserve">ACCADEMIA CALCIO A.S.D.</t>
  </si>
  <si>
    <t xml:space="preserve">TRITIUM CALCIO 1908 ASQ.B</t>
  </si>
  <si>
    <t xml:space="preserve">FOCS ASD SQ.C</t>
  </si>
  <si>
    <t xml:space="preserve">FIGC​</t>
  </si>
  <si>
    <t xml:space="preserve">Pulcini Misti</t>
  </si>
  <si>
    <t xml:space="preserve">ALZANO LOMBARDO VIA EUROPA 50​</t>
  </si>
  <si>
    <t xml:space="preserve">TORRE DE ROVERI CALCIO</t>
  </si>
  <si>
    <t xml:space="preserve">CALCIO MOZZO A.S.D.</t>
  </si>
  <si>
    <t xml:space="preserve">ORIO AL SERIO VIA AEROPORTO​</t>
  </si>
  <si>
    <t xml:space="preserve">MOZZO VIA COLOMBERA 1​</t>
  </si>
  <si>
    <t xml:space="preserve">BERGAMO Q.RE CELADINA VIA PIZZO SCAIS 1​</t>
  </si>
  <si>
    <t xml:space="preserve">AMBIVERE VIA LEOPARDI SNC​</t>
  </si>
  <si>
    <t xml:space="preserve">BERGAMO Q.RE CAMPAGNOLA VIA GASPARINI​</t>
  </si>
  <si>
    <t xml:space="preserve">TORRE DE ROVERI VIA PAPA GIOVANNI XXIII° 6</t>
  </si>
  <si>
    <t xml:space="preserve">BONATE SOTTO VIA GIUSEPPE GARIBALDI 15​</t>
  </si>
  <si>
    <t xml:space="preserve">COMUN NUOVO</t>
  </si>
  <si>
    <t xml:space="preserve">COMUN NUOVO VIA AZZURRI 2006​</t>
  </si>
  <si>
    <t xml:space="preserve">MARIANO CALCIO A.S.D.</t>
  </si>
  <si>
    <t xml:space="preserve">DALMINE VIA DELLE TOFANE​</t>
  </si>
  <si>
    <t xml:space="preserve">ORATORIO CALVENZANO SQ.B</t>
  </si>
  <si>
    <t xml:space="preserve">CALVENZANO VIA ROMA 10​</t>
  </si>
  <si>
    <t xml:space="preserve">ZINGONIA VERDELLINO</t>
  </si>
  <si>
    <t xml:space="preserve">VERDELLINO VIA DEGLI OLEANDRI 1​</t>
  </si>
  <si>
    <t xml:space="preserve">BRIGNANESE CALCIO A.SSQ.B</t>
  </si>
  <si>
    <t xml:space="preserve">BRIGNANO VIA DELL'INNOMINATO​</t>
  </si>
  <si>
    <t xml:space="preserve">CAPRIATE CALCIO</t>
  </si>
  <si>
    <t xml:space="preserve">CAPRIATE SAN GERVASIO VIA GRIGNANO 24​</t>
  </si>
  <si>
    <t xml:space="preserve">ORATORIO CALCIO ARCENE</t>
  </si>
  <si>
    <t xml:space="preserve">ARCENE VIA SAN GIOVANNI BOSCO N.8​</t>
  </si>
  <si>
    <t xml:space="preserve">OROBICA CALCIO BERGAMO</t>
  </si>
  <si>
    <t xml:space="preserve">ARCENE VIA GIUSEPPE VERDI SNC​</t>
  </si>
  <si>
    <t xml:space="preserve">PAGAZZANESE</t>
  </si>
  <si>
    <t xml:space="preserve">PAGAZZANO VIA MALDOSSO S.N.C.​</t>
  </si>
  <si>
    <t xml:space="preserve">CALCIO BOTTANUCO</t>
  </si>
  <si>
    <t xml:space="preserve">BOTTANUCO VIA JOHN FITZGERALD KENNEDY 8</t>
  </si>
  <si>
    <t xml:space="preserve">Primi Calci</t>
  </si>
  <si>
    <t xml:space="preserve">PRESEZZO VIA OLIMPIA 3​</t>
  </si>
  <si>
    <t xml:space="preserve">ALME SQ.C</t>
  </si>
  <si>
    <t xml:space="preserve">VILLA D'ALME' VIA RONCO BASSO 15​</t>
  </si>
  <si>
    <t xml:space="preserve">MAPELLO VIA DEL LAZZARINO​</t>
  </si>
  <si>
    <t xml:space="preserve">PALADINA VIA DEGLI ALPINI N.1​</t>
  </si>
  <si>
    <t xml:space="preserve">SANT'OMOBONO TERME VIA ALLE FONTI 2​</t>
  </si>
  <si>
    <t xml:space="preserve"> ALME SQ.B</t>
  </si>
  <si>
    <t xml:space="preserve"> PONTERANICA SQ.B</t>
  </si>
  <si>
    <t xml:space="preserve"> ZOGNESE SQ.B</t>
  </si>
  <si>
    <t xml:space="preserve"> A.C. PONTE S.P. - MAPsq.D</t>
  </si>
  <si>
    <t xml:space="preserve"> ALME sq.D</t>
  </si>
  <si>
    <t xml:space="preserve"> ACCADEMIA CALCIO A.S.SQ.B</t>
  </si>
  <si>
    <t xml:space="preserve"> ACCADEMIA PBC GERA DASQ.C</t>
  </si>
  <si>
    <t xml:space="preserve">PONTIROLO NUOVO VIA ARMANDO DIAZ 22​</t>
  </si>
  <si>
    <t xml:space="preserve"> BONATE SOTTO 1951</t>
  </si>
  <si>
    <t xml:space="preserve">CARVICO VIA PEDRAZZI​</t>
  </si>
  <si>
    <t xml:space="preserve"> OROBICA CALCIO BERGAMO</t>
  </si>
  <si>
    <t xml:space="preserve">ARCENE VIA GIUSEPPE VERDI​</t>
  </si>
  <si>
    <t xml:space="preserve">FILAGO VIA ANTONIO LOCATELLI 42​</t>
  </si>
  <si>
    <t xml:space="preserve"> BARIANESE A.S.D.</t>
  </si>
  <si>
    <t xml:space="preserve">MASANO VIA MOLINA​</t>
  </si>
  <si>
    <t xml:space="preserve">CISANO BERGAMASCO VIA CA' DE' VOLPI N°7​</t>
  </si>
  <si>
    <t xml:space="preserve">FARA OLIVANA CON SOLA VIA VITTORIO EMANUELE SNC</t>
  </si>
  <si>
    <t xml:space="preserve"> ACCADEMIA ISOLABERGAMSQ.B</t>
  </si>
  <si>
    <t xml:space="preserve"> AZZANO CALCIO ASD SQ.C</t>
  </si>
  <si>
    <t xml:space="preserve">AZZANO SAN PAOLO VIA STEZZANO 33​</t>
  </si>
  <si>
    <t xml:space="preserve"> BONATE SOTTO 1951 sq.B</t>
  </si>
  <si>
    <t xml:space="preserve"> CISANESE A.S.D. SQ.B</t>
  </si>
  <si>
    <t xml:space="preserve">CISANO BERGAMASCO VIA CA'DE VOLPI 7​</t>
  </si>
  <si>
    <t xml:space="preserve"> AZZANO CALCIO ASD</t>
  </si>
  <si>
    <t xml:space="preserve"> FOCS ASD SQ.D</t>
  </si>
  <si>
    <t xml:space="preserve">FARA OLIVANA CON SOLA VIA VITTORIO EMANUELE SNC​</t>
  </si>
  <si>
    <t xml:space="preserve"> TREVIGLIESE S.S.D. A.SQ.C</t>
  </si>
  <si>
    <t xml:space="preserve">TREVIGLIO VIA AI MALGARI 1​</t>
  </si>
  <si>
    <t xml:space="preserve"> MONVICO A.S.D. sq.C</t>
  </si>
  <si>
    <t xml:space="preserve">CARVICO VIA PEDRAZZ</t>
  </si>
  <si>
    <t xml:space="preserve"> AURORA SERIATE 1967</t>
  </si>
  <si>
    <t xml:space="preserve">SERIATE VIA PO 25</t>
  </si>
  <si>
    <t xml:space="preserve">BRUSAPORTO VIA BELVEDERE 1</t>
  </si>
  <si>
    <t xml:space="preserve">GORLE VIA ROMA 2/A</t>
  </si>
  <si>
    <t xml:space="preserve">CISERANO VIA MAZZINI 13</t>
  </si>
  <si>
    <t xml:space="preserve">ZANICA VIA COMUN NUOVO 26-28</t>
  </si>
  <si>
    <t xml:space="preserve"> AZZANO CALCIO ASD SQ.B</t>
  </si>
  <si>
    <t xml:space="preserve"> LALLIO CALCIO SQ.B</t>
  </si>
  <si>
    <t xml:space="preserve"> FORZA E COSTANZA 1905 ASD</t>
  </si>
  <si>
    <t xml:space="preserve">MARTINENGO VIA B. COLLEONI 28</t>
  </si>
  <si>
    <t xml:space="preserve"> CALCIO BRUSAPORTO SQ.B</t>
  </si>
  <si>
    <t xml:space="preserve">L</t>
  </si>
  <si>
    <t xml:space="preserve"> LALLIO CALCIO sq.C</t>
  </si>
  <si>
    <t xml:space="preserve"> NOVA MONTELLO SQ.B</t>
  </si>
  <si>
    <t xml:space="preserve">MONTELLO VIA L.ARIOSTO</t>
  </si>
  <si>
    <t xml:space="preserve"> ORATORIO CORTENUOVA sq.C</t>
  </si>
  <si>
    <t xml:space="preserve">CORTENUOVA VIA GAETANO DONIZETTI</t>
  </si>
  <si>
    <t xml:space="preserve">PEDRENGO VIA GIARDINI 12/A</t>
  </si>
  <si>
    <t xml:space="preserve"> FIORENTE 1946 COLOGNOLA</t>
  </si>
  <si>
    <t xml:space="preserve"> MALPENSATA CAMPAGNOLA</t>
  </si>
  <si>
    <t xml:space="preserve">BERGAMO Q.RE MALPENSATA VIA OZANAM 12</t>
  </si>
  <si>
    <t xml:space="preserve"> POL. COM. GHISALBA CASQ.B</t>
  </si>
  <si>
    <t xml:space="preserve">GHISALBA VIA ALDO MORO</t>
  </si>
  <si>
    <t xml:space="preserve"> AURORA SERIATE 1967 SQ.C</t>
  </si>
  <si>
    <t xml:space="preserve"> CAROBBIO 2020 sq.B</t>
  </si>
  <si>
    <t xml:space="preserve">M</t>
  </si>
  <si>
    <t xml:space="preserve">CAROBBIO DEGLI ANGELI VIA GAETANO DONIZETTI 12</t>
  </si>
  <si>
    <t xml:space="preserve"> U.S.O. ZANICA ASD</t>
  </si>
  <si>
    <t xml:space="preserve">ZANICA VIA ROMA 38</t>
  </si>
  <si>
    <t xml:space="preserve"> VIRTUS LOVERE 2025 A.sq.B</t>
  </si>
  <si>
    <t xml:space="preserve">CASTRO VIA MATTEOTTI 39</t>
  </si>
  <si>
    <t xml:space="preserve"> AZZANO CALCIO ASD SQ.D</t>
  </si>
  <si>
    <t xml:space="preserve"> CAVERNAGO</t>
  </si>
  <si>
    <t xml:space="preserve">CAVERNAGO VIA UNGARETTI 66</t>
  </si>
  <si>
    <t xml:space="preserve"> POLISPORTIVA 2 LAGHI SSD</t>
  </si>
  <si>
    <t xml:space="preserve">SOVERE VIA CANNETO 4</t>
  </si>
  <si>
    <t xml:space="preserve">RANICA PIAZZA L. BERTETT SNC</t>
  </si>
  <si>
    <t xml:space="preserve"> SPORT CASAZZA</t>
  </si>
  <si>
    <t xml:space="preserve">CASAZZA PIAZZA PIEVE 4</t>
  </si>
  <si>
    <t xml:space="preserve"> E</t>
  </si>
  <si>
    <t xml:space="preserve"> L</t>
  </si>
  <si>
    <t xml:space="preserve"> M</t>
  </si>
  <si>
    <t xml:space="preserve">Sportimagna Bianca</t>
  </si>
  <si>
    <t xml:space="preserve">Minipulcini</t>
  </si>
  <si>
    <t xml:space="preserve">andata</t>
  </si>
  <si>
    <t xml:space="preserve">Sportimagna Blu</t>
  </si>
  <si>
    <t xml:space="preserve">Comunale Via Villaggio Europa 1 24012 Brembilla</t>
  </si>
  <si>
    <t xml:space="preserve">Brembate Sopra G</t>
  </si>
  <si>
    <t xml:space="preserve">Roncola</t>
  </si>
  <si>
    <t xml:space="preserve">Comunale Via San Giacomo 5 24038 S.Omobono/Selinoalto</t>
  </si>
  <si>
    <t xml:space="preserve">Palestra Comunale Via Pineta 24030 Roncola</t>
  </si>
  <si>
    <t xml:space="preserve">Suisio 2000</t>
  </si>
  <si>
    <t xml:space="preserve">Brembate Sopra V</t>
  </si>
  <si>
    <t xml:space="preserve">Oratorio Campo 1 Via Brede 17 24040 Suisio</t>
  </si>
  <si>
    <t xml:space="preserve">Locate Blu</t>
  </si>
  <si>
    <t xml:space="preserve">Oratorio Via Rimembranze 13 24036 Ponte S.Pietro Locat</t>
  </si>
  <si>
    <t xml:space="preserve">Dinamo Blu</t>
  </si>
  <si>
    <t xml:space="preserve">Comunale (Sint) Via Cav. di V.Veneto 24033 Calusco D'Adda</t>
  </si>
  <si>
    <t xml:space="preserve">Comunale (Sint) Via Laterale Adda 2 24030 Medolago</t>
  </si>
  <si>
    <t xml:space="preserve">Cs.Viv.Insieme 2(Sint) Via Abruzzi 9 24035 Curno Marigolda</t>
  </si>
  <si>
    <t xml:space="preserve">IUS</t>
  </si>
  <si>
    <t xml:space="preserve">Comunale Erba Parco Morali Via Morali 1 24125 Bergamo Grumello D.P</t>
  </si>
  <si>
    <t xml:space="preserve">Ares Redona</t>
  </si>
  <si>
    <t xml:space="preserve">Pol.Celadina</t>
  </si>
  <si>
    <t xml:space="preserve">Oratorio Sintetico Via Galimberti 4 24124 Bergamo Redona</t>
  </si>
  <si>
    <t xml:space="preserve">Uso Sforzatica Az</t>
  </si>
  <si>
    <t xml:space="preserve">Or.S.Andrea Sint Via Colombo 7/A 24044 Dalmine Sforzatica</t>
  </si>
  <si>
    <t xml:space="preserve">Oratorio Sint Piazzale S.Paolo 35 24128 Bergamo San Paolo</t>
  </si>
  <si>
    <t xml:space="preserve">Oratorio Sintetico Via Pizzo Scais 1 24125 Bergamo Celadina</t>
  </si>
  <si>
    <t xml:space="preserve">Utili Via Baioni 46 24123 Bergamo</t>
  </si>
  <si>
    <t xml:space="preserve">Osg Dalmine Bianco</t>
  </si>
  <si>
    <t xml:space="preserve">Dinamo Gialli</t>
  </si>
  <si>
    <t xml:space="preserve">Brembate Sopra F</t>
  </si>
  <si>
    <t xml:space="preserve">Locate Granata</t>
  </si>
  <si>
    <t xml:space="preserve">Mozzo</t>
  </si>
  <si>
    <t xml:space="preserve">Oratorio Via Rimembranze 13 24036 Ponte S.Pietro</t>
  </si>
  <si>
    <t xml:space="preserve">Cs.Viv.Insieme 2(Sint) Via Abruzzi 9 24035 Curno</t>
  </si>
  <si>
    <t xml:space="preserve">Comunale (Sintetico) Via Colombera 1 24030 Mozzo</t>
  </si>
  <si>
    <t xml:space="preserve">Bergamo FC 1971 ASD</t>
  </si>
  <si>
    <t xml:space="preserve">Giovanissimi 2011</t>
  </si>
  <si>
    <t xml:space="preserve">Sant’Omobono Terme Via Alle Fonti 2</t>
  </si>
  <si>
    <t xml:space="preserve">Lemine Almenno Calcio</t>
  </si>
  <si>
    <t xml:space="preserve">Almenno San Bartolomeo Via F.lli Roncelli 2</t>
  </si>
  <si>
    <t xml:space="preserve">Paladina</t>
  </si>
  <si>
    <t xml:space="preserve">Dinamo Popieluszko</t>
  </si>
  <si>
    <t xml:space="preserve">Paladina Via Degli Alpini 1</t>
  </si>
  <si>
    <t xml:space="preserve">U.S.Calcio San Pellegrino</t>
  </si>
  <si>
    <t xml:space="preserve">Football Ambivere</t>
  </si>
  <si>
    <t xml:space="preserve">San Pellegrino Terme Via B. Belotti 2</t>
  </si>
  <si>
    <t xml:space="preserve">Alme</t>
  </si>
  <si>
    <t xml:space="preserve">Alme’ Via Olimpia 8</t>
  </si>
  <si>
    <t xml:space="preserve">Acc.Calcio A.V. Brembana</t>
  </si>
  <si>
    <t xml:space="preserve">Sorisolese A.S.D.</t>
  </si>
  <si>
    <t xml:space="preserve">San Giovanni Bianco Via Briolo Entro snc</t>
  </si>
  <si>
    <t xml:space="preserve">Presezzo Calcio 1954</t>
  </si>
  <si>
    <t xml:space="preserve">Valserina A.S.D.</t>
  </si>
  <si>
    <t xml:space="preserve">Presezzo Via Olimpia 3</t>
  </si>
  <si>
    <t xml:space="preserve">Serina Via Valle 55/A</t>
  </si>
  <si>
    <t xml:space="preserve">Brembate Sopra Via Locatelli 36</t>
  </si>
  <si>
    <t xml:space="preserve">Curno Via IV Novembre</t>
  </si>
  <si>
    <t xml:space="preserve">Ponte San Pietro Zona Clinica Via XIV Maggio</t>
  </si>
  <si>
    <t xml:space="preserve">Ambivere Via Leopardi snc</t>
  </si>
  <si>
    <t xml:space="preserve">Bergamo Q.re Loreto Via Meucci</t>
  </si>
  <si>
    <t xml:space="preserve">Sorisole Via Roccoli snc</t>
  </si>
  <si>
    <t xml:space="preserve">Accademia PBC Gera D'adda</t>
  </si>
  <si>
    <t xml:space="preserve">Voluntas Osio</t>
  </si>
  <si>
    <t xml:space="preserve">VIA T .VECELLIO Boltiere</t>
  </si>
  <si>
    <t xml:space="preserve">Oratorio Di Stezzano</t>
  </si>
  <si>
    <t xml:space="preserve">VIA CAV.DI VITTORIO VENETO,236 Calusco</t>
  </si>
  <si>
    <t xml:space="preserve">Oratorio Verdello</t>
  </si>
  <si>
    <t xml:space="preserve">VIA PAPA GIOVANNI XXIII,24 Mariano Di Dalmine</t>
  </si>
  <si>
    <t xml:space="preserve">VIA LATERALE ADDA Medolago</t>
  </si>
  <si>
    <t xml:space="preserve">Monvico</t>
  </si>
  <si>
    <t xml:space="preserve">Zingonia Verdellino</t>
  </si>
  <si>
    <t xml:space="preserve">VIA MANZONI N.16 Carvico</t>
  </si>
  <si>
    <t xml:space="preserve">Oratorio Bonate Sopra</t>
  </si>
  <si>
    <t xml:space="preserve">VIA PAPA GIOVANNI XXIII Bonate Sopra</t>
  </si>
  <si>
    <t xml:space="preserve">Via Marconi Brembate</t>
  </si>
  <si>
    <t xml:space="preserve">Bottanuco</t>
  </si>
  <si>
    <t xml:space="preserve"> VIA JOHN FITZGERALD KENNEDY,8 Bottanuco</t>
  </si>
  <si>
    <t xml:space="preserve">Via delle Industrie Osio</t>
  </si>
  <si>
    <t xml:space="preserve">Via Grazia Deledda Lallio</t>
  </si>
  <si>
    <t xml:space="preserve">Via Bergamo 13 Stezzano Parrocchiale</t>
  </si>
  <si>
    <t xml:space="preserve">Via XI Febbraio 4 Verdello</t>
  </si>
  <si>
    <t xml:space="preserve">VIA DEGLI OLEANDRI 1 Verdellino</t>
  </si>
  <si>
    <t xml:space="preserve">Academy Fiorente</t>
  </si>
  <si>
    <t xml:space="preserve">San Leone</t>
  </si>
  <si>
    <t xml:space="preserve">VIA CIRCONVALLAZIONE OVEST,33 Stezzano</t>
  </si>
  <si>
    <t xml:space="preserve">Calcio Pedrengo</t>
  </si>
  <si>
    <t xml:space="preserve">Malpensata Campagnola</t>
  </si>
  <si>
    <t xml:space="preserve">VIA GIARDINI 12/A Pedrengo</t>
  </si>
  <si>
    <t xml:space="preserve">La Torre</t>
  </si>
  <si>
    <t xml:space="preserve">VIA GOISIS Redona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</si>
  <si>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</si>
  <si>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</si>
  <si>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</si>
  <si>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</si>
  <si>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</si>
  <si>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</si>
  <si>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</si>
  <si>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</si>
  <si>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</si>
  <si>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VIALE LOMBARDIA 44 Torre Boldone</t>
  </si>
  <si>
    <t xml:space="preserve">VIA B .PALAZZO 45 Borgo Palazzo</t>
  </si>
  <si>
    <t xml:space="preserve"> LEMINE ALMENNO CALCIO</t>
  </si>
  <si>
    <t xml:space="preserve">Giovanissimi 2012</t>
  </si>
  <si>
    <t xml:space="preserve"> 09:15</t>
  </si>
  <si>
    <t xml:space="preserve"> ALMENNO SAN BARTOLOMEO VIA FLLI RONCELLI 2</t>
  </si>
  <si>
    <t xml:space="preserve"> EXCELSIOR SEZ. CALCIO ASD</t>
  </si>
  <si>
    <t xml:space="preserve"> 10:30</t>
  </si>
  <si>
    <t xml:space="preserve"> BERGAMO VIALE GIULIO CESARE 5</t>
  </si>
  <si>
    <t xml:space="preserve"> PALADINA</t>
  </si>
  <si>
    <t xml:space="preserve"> BERGAMO FC 1971 ASD</t>
  </si>
  <si>
    <t xml:space="preserve"> 09:00</t>
  </si>
  <si>
    <t xml:space="preserve"> PALADINA VIA DEGLI ALPINI 1</t>
  </si>
  <si>
    <t xml:space="preserve"> ATALANTA BERGAMASCA CSQ.B</t>
  </si>
  <si>
    <t xml:space="preserve"> CELADINA</t>
  </si>
  <si>
    <t xml:space="preserve"> BREMBATE VIA O RATORIO 20</t>
  </si>
  <si>
    <t xml:space="preserve"> SORISOLESE A.S.D.</t>
  </si>
  <si>
    <t xml:space="preserve"> 10:00</t>
  </si>
  <si>
    <t xml:space="preserve"> SORISOLE VIA ROCCOLI SNC</t>
  </si>
  <si>
    <t xml:space="preserve"> ACCADEMIA SPORTIMAGNA</t>
  </si>
  <si>
    <t xml:space="preserve"> U.S.CALCIO SAN PELLEGRINO</t>
  </si>
  <si>
    <t xml:space="preserve"> 10:45</t>
  </si>
  <si>
    <t xml:space="preserve"> SANT'OMOBONO TERME VIA ALLE FONTI 2</t>
  </si>
  <si>
    <t xml:space="preserve"> ALME VIA OLIMPIA 8</t>
  </si>
  <si>
    <t xml:space="preserve"> MAPELLO VIA DEL LAZZARINO 1</t>
  </si>
  <si>
    <t xml:space="preserve"> BERGAMO VIA PIZZO SCAIS 1</t>
  </si>
  <si>
    <t xml:space="preserve"> SOTTO IL MONTE VIALE PACEM IN TERRIS</t>
  </si>
  <si>
    <t xml:space="preserve"> SAN PELLEGRINO TERME VIA B BELOTTI 2</t>
  </si>
  <si>
    <t xml:space="preserve"> BERGAMO VIA MEUCCI</t>
  </si>
  <si>
    <t xml:space="preserve"> ZOGNO VIA CAMANCHE SNC</t>
  </si>
  <si>
    <t xml:space="preserve"> EXCELSIOR SEZ. CALCIO ASD </t>
  </si>
  <si>
    <t xml:space="preserve"> Paladina</t>
  </si>
  <si>
    <t xml:space="preserve"> A.C. Ponte S.P. - Mapello</t>
  </si>
  <si>
    <t xml:space="preserve"> Paladina VIA DEGLI ALPINI N.1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</si>
  <si>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</si>
  <si>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</si>
  <si>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</si>
  <si>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</si>
  <si>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</si>
  <si>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Sant'Omobono Terme VIA ALLE FONTI 2</t>
  </si>
  <si>
    <t xml:space="preserve"> Zognese</t>
  </si>
  <si>
    <t xml:space="preserve"> Lemine Almenno Calcio</t>
  </si>
  <si>
    <t xml:space="preserve"> ZOGNO VIA CAMANCHE SNC CAMANCHE</t>
  </si>
  <si>
    <t xml:space="preserve"> Excelsior Seriate Calcio ASD</t>
  </si>
  <si>
    <t xml:space="preserve"> Monvico A.S.D.</t>
  </si>
  <si>
    <t xml:space="preserve"> Bergamo Q.RE S.CATERINA VIA GIULIO CESARE 5</t>
  </si>
  <si>
    <t xml:space="preserve"> Celadina</t>
  </si>
  <si>
    <t xml:space="preserve"> U.S. Calcio San Pellegrino</t>
  </si>
  <si>
    <t xml:space="preserve"> Bergamo Q.RE CELADINA VIA PIZZO SCAS 1</t>
  </si>
  <si>
    <t xml:space="preserve"> SOTTO IL MONTE VIA PACEM IN TERRIS</t>
  </si>
  <si>
    <t xml:space="preserve"> Almenno SAN BARTOLOMEO VIA F.LLI RONCELLI 2</t>
  </si>
  <si>
    <t xml:space="preserve"> Alme' VIA OLIMPIA 8</t>
  </si>
  <si>
    <t xml:space="preserve"> SAN PELLEGRINO TERME VIA B.SELLOTTI 2</t>
  </si>
  <si>
    <t xml:space="preserve"> Sorisolese A.S.D.</t>
  </si>
  <si>
    <t xml:space="preserve"> 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</si>
  <si>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</si>
  <si>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</si>
  <si>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</si>
  <si>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Albino Via Madonna del Pianto 22</t>
  </si>
  <si>
    <t xml:space="preserve">Città di Alzano1921 ASD</t>
  </si>
  <si>
    <t xml:space="preserve">Cenate Sotto A.S.D.</t>
  </si>
  <si>
    <t xml:space="preserve">Alzano Lombardo Fraz. Nese Via Montelungo 3</t>
  </si>
  <si>
    <t xml:space="preserve">La Torre Calcio A.S.D.</t>
  </si>
  <si>
    <t xml:space="preserve">Costa Volpino A.S.D.</t>
  </si>
  <si>
    <t xml:space="preserve">Torre Boldone Viale Lombardia 44</t>
  </si>
  <si>
    <t xml:space="preserve">Sport Casazza</t>
  </si>
  <si>
    <t xml:space="preserve">Falco</t>
  </si>
  <si>
    <t xml:space="preserve">Casazza Via Broli</t>
  </si>
  <si>
    <t xml:space="preserve">Torre de Roveri Calcio</t>
  </si>
  <si>
    <t xml:space="preserve">G.S.O. Aurora Trescore</t>
  </si>
  <si>
    <t xml:space="preserve">Torre de Roveri Via Papa Giovanni XXIII°</t>
  </si>
  <si>
    <t xml:space="preserve">G.S. Vertovese SSDARL</t>
  </si>
  <si>
    <t xml:space="preserve">Nembrese 1913</t>
  </si>
  <si>
    <t xml:space="preserve">Gandino Viale Ca’ dell’Agro</t>
  </si>
  <si>
    <t xml:space="preserve">Polisportiva 2 Laghi SSD</t>
  </si>
  <si>
    <t xml:space="preserve">Sovere Via Canneto 4</t>
  </si>
  <si>
    <t xml:space="preserve">Trescore Balneario Via Locatelli</t>
  </si>
  <si>
    <t xml:space="preserve">Gorle Via Roma 2/A</t>
  </si>
  <si>
    <t xml:space="preserve">Cenate Sotto Via Roma</t>
  </si>
  <si>
    <t xml:space="preserve">Nembro Via Nembrini SNC</t>
  </si>
  <si>
    <t xml:space="preserve">Albino Via Rio Re SNC</t>
  </si>
  <si>
    <t xml:space="preserve">Costa Volpino Via Nazionale-LOC.Malpensata</t>
  </si>
  <si>
    <t xml:space="preserve">Ranica Piazza L. Bertett SNC</t>
  </si>
  <si>
    <t xml:space="preserve">Fiorente Bergamo 1946</t>
  </si>
  <si>
    <t xml:space="preserve">Atalanta</t>
  </si>
  <si>
    <t xml:space="preserve"> VIA GRAZIA DELEDDA Lallio</t>
  </si>
  <si>
    <t xml:space="preserve">Accademia Isola Bergamasca</t>
  </si>
  <si>
    <t xml:space="preserve">VIA ANTONIO LOCATELLI,42 Filago</t>
  </si>
  <si>
    <t xml:space="preserve">Acos Treviglio</t>
  </si>
  <si>
    <t xml:space="preserve">VIA MILANO N.7 Treviglio</t>
  </si>
  <si>
    <t xml:space="preserve">Accademia PBC Gera D'Adda</t>
  </si>
  <si>
    <t xml:space="preserve">Via Giuseppe Verde Canonica d’Adda</t>
  </si>
  <si>
    <t xml:space="preserve">Azzano Calcio</t>
  </si>
  <si>
    <t xml:space="preserve"> VIA STEZZANO,33 Azzano San Paolo</t>
  </si>
  <si>
    <t xml:space="preserve"> VIA GASPARINI Campagnola</t>
  </si>
  <si>
    <t xml:space="preserve">VIA ROMA, 62 Urgnano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</si>
  <si>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</si>
  <si>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</si>
  <si>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</si>
  <si>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</si>
  <si>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</si>
  <si>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11:00</t>
  </si>
  <si>
    <t xml:space="preserve">BOOM</t>
  </si>
  <si>
    <t xml:space="preserve">10:00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</si>
</sst>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hh:mm:ss"/>
    <numFmt numFmtId="168" formatCode="h:mm;@"/>
    <numFmt numFmtId="169" formatCode="hh:mm"/>
    <numFmt numFmtId="170" formatCode="General"/>
    <numFmt numFmtId="171" formatCode="h:m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Segoe UI"/>
      <family val="2"/>
      <charset val="1"/>
    </font>
    <font>
      <sz val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1"/>
  <sheetViews>
    <sheetView showFormulas="false" showGridLines="true" showRowColHeaders="true" showZeros="true" rightToLeft="false" tabSelected="false" showOutlineSymbols="true" defaultGridColor="true" view="normal" topLeftCell="A166" colorId="64" zoomScale="100" zoomScaleNormal="100" zoomScalePageLayoutView="100" workbookViewId="0">
      <selection pane="topLeft" activeCell="F15" activeCellId="0" sqref="F15"/>
    </sheetView>
  </sheetViews>
  <sheetFormatPr defaultColWidth="11.9921875" defaultRowHeight="12.5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0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7.91"/>
    <col collapsed="false" customWidth="true" hidden="false" outlineLevel="0" max="9" min="9" style="0" width="7.27"/>
    <col collapsed="false" customWidth="true" hidden="false" outlineLevel="0" max="10" min="10" style="0" width="10.91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</v>
      </c>
      <c r="C2" s="0" t="s">
        <v>12</v>
      </c>
      <c r="D2" s="0" t="s">
        <v>13</v>
      </c>
      <c r="E2" s="0" t="s">
        <v>14</v>
      </c>
      <c r="F2" s="1" t="s">
        <v>15</v>
      </c>
      <c r="G2" s="0" t="s">
        <v>16</v>
      </c>
      <c r="H2" s="0" t="n">
        <v>1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19</v>
      </c>
      <c r="C3" s="0" t="s">
        <v>20</v>
      </c>
      <c r="D3" s="0" t="s">
        <v>13</v>
      </c>
      <c r="E3" s="0" t="s">
        <v>14</v>
      </c>
      <c r="F3" s="1" t="s">
        <v>21</v>
      </c>
      <c r="G3" s="0" t="s">
        <v>22</v>
      </c>
      <c r="H3" s="0" t="n">
        <v>1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23</v>
      </c>
      <c r="C4" s="0" t="s">
        <v>24</v>
      </c>
      <c r="D4" s="0" t="s">
        <v>13</v>
      </c>
      <c r="E4" s="0" t="s">
        <v>14</v>
      </c>
      <c r="F4" s="1" t="s">
        <v>25</v>
      </c>
      <c r="G4" s="0" t="s">
        <v>22</v>
      </c>
      <c r="H4" s="0" t="n">
        <v>1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26</v>
      </c>
      <c r="C5" s="0" t="s">
        <v>27</v>
      </c>
      <c r="D5" s="0" t="s">
        <v>13</v>
      </c>
      <c r="E5" s="0" t="s">
        <v>14</v>
      </c>
      <c r="F5" s="1" t="s">
        <v>15</v>
      </c>
      <c r="G5" s="0" t="s">
        <v>28</v>
      </c>
      <c r="H5" s="0" t="n">
        <v>1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10</v>
      </c>
      <c r="B6" s="0" t="s">
        <v>29</v>
      </c>
      <c r="C6" s="0" t="s">
        <v>30</v>
      </c>
      <c r="D6" s="0" t="s">
        <v>13</v>
      </c>
      <c r="E6" s="0" t="s">
        <v>14</v>
      </c>
      <c r="F6" s="1" t="s">
        <v>31</v>
      </c>
      <c r="G6" s="0" t="s">
        <v>16</v>
      </c>
      <c r="H6" s="0" t="n">
        <v>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30</v>
      </c>
      <c r="C7" s="0" t="s">
        <v>26</v>
      </c>
      <c r="D7" s="0" t="s">
        <v>13</v>
      </c>
      <c r="E7" s="0" t="s">
        <v>14</v>
      </c>
      <c r="F7" s="1" t="s">
        <v>25</v>
      </c>
      <c r="G7" s="0" t="s">
        <v>33</v>
      </c>
      <c r="H7" s="0" t="n">
        <v>2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27</v>
      </c>
      <c r="C8" s="0" t="s">
        <v>23</v>
      </c>
      <c r="D8" s="0" t="s">
        <v>13</v>
      </c>
      <c r="E8" s="0" t="s">
        <v>14</v>
      </c>
      <c r="F8" s="1" t="s">
        <v>31</v>
      </c>
      <c r="G8" s="0" t="s">
        <v>34</v>
      </c>
      <c r="H8" s="0" t="n">
        <v>2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24</v>
      </c>
      <c r="C9" s="0" t="s">
        <v>19</v>
      </c>
      <c r="D9" s="0" t="s">
        <v>13</v>
      </c>
      <c r="E9" s="0" t="s">
        <v>14</v>
      </c>
      <c r="F9" s="1" t="s">
        <v>25</v>
      </c>
      <c r="G9" s="0" t="s">
        <v>35</v>
      </c>
      <c r="H9" s="0" t="n">
        <v>2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32</v>
      </c>
      <c r="B10" s="0" t="s">
        <v>20</v>
      </c>
      <c r="C10" s="0" t="s">
        <v>11</v>
      </c>
      <c r="D10" s="0" t="s">
        <v>13</v>
      </c>
      <c r="E10" s="0" t="s">
        <v>14</v>
      </c>
      <c r="F10" s="1" t="s">
        <v>21</v>
      </c>
      <c r="G10" s="0" t="s">
        <v>36</v>
      </c>
      <c r="H10" s="0" t="n">
        <v>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32</v>
      </c>
      <c r="B11" s="0" t="s">
        <v>12</v>
      </c>
      <c r="C11" s="0" t="s">
        <v>29</v>
      </c>
      <c r="D11" s="0" t="s">
        <v>13</v>
      </c>
      <c r="E11" s="0" t="s">
        <v>14</v>
      </c>
      <c r="F11" s="1" t="s">
        <v>21</v>
      </c>
      <c r="G11" s="0" t="s">
        <v>37</v>
      </c>
      <c r="H11" s="0" t="n">
        <v>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</v>
      </c>
      <c r="C12" s="0" t="s">
        <v>20</v>
      </c>
      <c r="D12" s="0" t="s">
        <v>13</v>
      </c>
      <c r="E12" s="0" t="s">
        <v>14</v>
      </c>
      <c r="F12" s="1" t="s">
        <v>21</v>
      </c>
      <c r="G12" s="0" t="s">
        <v>37</v>
      </c>
      <c r="H12" s="0" t="n">
        <v>3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</v>
      </c>
      <c r="C13" s="0" t="s">
        <v>24</v>
      </c>
      <c r="D13" s="0" t="s">
        <v>13</v>
      </c>
      <c r="E13" s="0" t="s">
        <v>14</v>
      </c>
      <c r="F13" s="1" t="s">
        <v>15</v>
      </c>
      <c r="G13" s="0" t="s">
        <v>16</v>
      </c>
      <c r="H13" s="0" t="n">
        <v>3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38</v>
      </c>
      <c r="B14" s="0" t="s">
        <v>19</v>
      </c>
      <c r="C14" s="0" t="s">
        <v>27</v>
      </c>
      <c r="D14" s="0" t="s">
        <v>13</v>
      </c>
      <c r="E14" s="0" t="s">
        <v>14</v>
      </c>
      <c r="F14" s="1" t="s">
        <v>21</v>
      </c>
      <c r="G14" s="0" t="s">
        <v>22</v>
      </c>
      <c r="H14" s="0" t="n">
        <v>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38</v>
      </c>
      <c r="B15" s="0" t="s">
        <v>23</v>
      </c>
      <c r="C15" s="0" t="s">
        <v>30</v>
      </c>
      <c r="D15" s="0" t="s">
        <v>13</v>
      </c>
      <c r="E15" s="0" t="s">
        <v>14</v>
      </c>
      <c r="F15" s="1" t="s">
        <v>25</v>
      </c>
      <c r="G15" s="0" t="s">
        <v>22</v>
      </c>
      <c r="H15" s="0" t="n">
        <v>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38</v>
      </c>
      <c r="B16" s="0" t="s">
        <v>29</v>
      </c>
      <c r="C16" s="0" t="s">
        <v>26</v>
      </c>
      <c r="D16" s="0" t="s">
        <v>13</v>
      </c>
      <c r="E16" s="0" t="s">
        <v>14</v>
      </c>
      <c r="F16" s="1" t="s">
        <v>31</v>
      </c>
      <c r="G16" s="0" t="s">
        <v>16</v>
      </c>
      <c r="H16" s="0" t="n">
        <v>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26</v>
      </c>
      <c r="C17" s="0" t="s">
        <v>23</v>
      </c>
      <c r="D17" s="0" t="s">
        <v>13</v>
      </c>
      <c r="E17" s="0" t="s">
        <v>14</v>
      </c>
      <c r="F17" s="1" t="s">
        <v>15</v>
      </c>
      <c r="G17" s="0" t="s">
        <v>28</v>
      </c>
      <c r="H17" s="0" t="n">
        <v>4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39</v>
      </c>
      <c r="B18" s="0" t="s">
        <v>30</v>
      </c>
      <c r="C18" s="0" t="s">
        <v>19</v>
      </c>
      <c r="D18" s="0" t="s">
        <v>13</v>
      </c>
      <c r="E18" s="0" t="s">
        <v>14</v>
      </c>
      <c r="F18" s="1" t="s">
        <v>25</v>
      </c>
      <c r="G18" s="0" t="s">
        <v>33</v>
      </c>
      <c r="H18" s="0" t="n">
        <v>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39</v>
      </c>
      <c r="B19" s="0" t="s">
        <v>27</v>
      </c>
      <c r="C19" s="0" t="s">
        <v>11</v>
      </c>
      <c r="D19" s="0" t="s">
        <v>13</v>
      </c>
      <c r="E19" s="0" t="s">
        <v>14</v>
      </c>
      <c r="F19" s="1" t="s">
        <v>31</v>
      </c>
      <c r="G19" s="0" t="s">
        <v>34</v>
      </c>
      <c r="H19" s="0" t="n">
        <v>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39</v>
      </c>
      <c r="B20" s="0" t="s">
        <v>24</v>
      </c>
      <c r="C20" s="0" t="s">
        <v>12</v>
      </c>
      <c r="D20" s="0" t="s">
        <v>13</v>
      </c>
      <c r="E20" s="0" t="s">
        <v>14</v>
      </c>
      <c r="F20" s="1" t="s">
        <v>25</v>
      </c>
      <c r="G20" s="0" t="s">
        <v>35</v>
      </c>
      <c r="H20" s="0" t="n">
        <v>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39</v>
      </c>
      <c r="B21" s="0" t="s">
        <v>20</v>
      </c>
      <c r="C21" s="0" t="s">
        <v>29</v>
      </c>
      <c r="D21" s="0" t="s">
        <v>13</v>
      </c>
      <c r="E21" s="0" t="s">
        <v>14</v>
      </c>
      <c r="F21" s="1" t="s">
        <v>21</v>
      </c>
      <c r="G21" s="0" t="s">
        <v>36</v>
      </c>
      <c r="H21" s="0" t="n">
        <v>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40</v>
      </c>
      <c r="B22" s="0" t="s">
        <v>20</v>
      </c>
      <c r="C22" s="0" t="s">
        <v>24</v>
      </c>
      <c r="D22" s="0" t="s">
        <v>13</v>
      </c>
      <c r="E22" s="0" t="s">
        <v>14</v>
      </c>
      <c r="F22" s="1" t="s">
        <v>21</v>
      </c>
      <c r="G22" s="0" t="s">
        <v>36</v>
      </c>
      <c r="H22" s="0" t="n">
        <v>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40</v>
      </c>
      <c r="B23" s="0" t="s">
        <v>12</v>
      </c>
      <c r="C23" s="0" t="s">
        <v>27</v>
      </c>
      <c r="D23" s="0" t="s">
        <v>13</v>
      </c>
      <c r="E23" s="0" t="s">
        <v>14</v>
      </c>
      <c r="F23" s="1" t="s">
        <v>21</v>
      </c>
      <c r="G23" s="0" t="s">
        <v>37</v>
      </c>
      <c r="H23" s="0" t="n">
        <v>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40</v>
      </c>
      <c r="B24" s="0" t="s">
        <v>11</v>
      </c>
      <c r="C24" s="0" t="s">
        <v>30</v>
      </c>
      <c r="D24" s="0" t="s">
        <v>13</v>
      </c>
      <c r="E24" s="0" t="s">
        <v>14</v>
      </c>
      <c r="F24" s="1" t="s">
        <v>15</v>
      </c>
      <c r="G24" s="0" t="s">
        <v>16</v>
      </c>
      <c r="H24" s="0" t="n">
        <v>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40</v>
      </c>
      <c r="B25" s="0" t="s">
        <v>19</v>
      </c>
      <c r="C25" s="0" t="s">
        <v>26</v>
      </c>
      <c r="D25" s="0" t="s">
        <v>13</v>
      </c>
      <c r="E25" s="0" t="s">
        <v>14</v>
      </c>
      <c r="F25" s="1" t="s">
        <v>21</v>
      </c>
      <c r="G25" s="0" t="s">
        <v>22</v>
      </c>
      <c r="H25" s="0" t="n">
        <v>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40</v>
      </c>
      <c r="B26" s="0" t="s">
        <v>29</v>
      </c>
      <c r="C26" s="0" t="s">
        <v>23</v>
      </c>
      <c r="D26" s="0" t="s">
        <v>13</v>
      </c>
      <c r="E26" s="0" t="s">
        <v>14</v>
      </c>
      <c r="F26" s="1" t="s">
        <v>31</v>
      </c>
      <c r="G26" s="0" t="s">
        <v>16</v>
      </c>
      <c r="H26" s="0" t="n">
        <v>5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41</v>
      </c>
      <c r="B27" s="0" t="s">
        <v>23</v>
      </c>
      <c r="C27" s="0" t="s">
        <v>19</v>
      </c>
      <c r="D27" s="0" t="s">
        <v>13</v>
      </c>
      <c r="E27" s="0" t="s">
        <v>14</v>
      </c>
      <c r="F27" s="1" t="s">
        <v>25</v>
      </c>
      <c r="G27" s="0" t="s">
        <v>22</v>
      </c>
      <c r="H27" s="0" t="n">
        <v>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41</v>
      </c>
      <c r="B28" s="0" t="s">
        <v>26</v>
      </c>
      <c r="C28" s="0" t="s">
        <v>11</v>
      </c>
      <c r="D28" s="0" t="s">
        <v>13</v>
      </c>
      <c r="E28" s="0" t="s">
        <v>14</v>
      </c>
      <c r="F28" s="1" t="s">
        <v>15</v>
      </c>
      <c r="G28" s="0" t="s">
        <v>28</v>
      </c>
      <c r="H28" s="0" t="n">
        <v>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41</v>
      </c>
      <c r="B29" s="0" t="s">
        <v>30</v>
      </c>
      <c r="C29" s="0" t="s">
        <v>12</v>
      </c>
      <c r="D29" s="0" t="s">
        <v>13</v>
      </c>
      <c r="E29" s="0" t="s">
        <v>14</v>
      </c>
      <c r="F29" s="1" t="s">
        <v>25</v>
      </c>
      <c r="G29" s="0" t="s">
        <v>33</v>
      </c>
      <c r="H29" s="0" t="n">
        <v>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41</v>
      </c>
      <c r="B30" s="0" t="s">
        <v>27</v>
      </c>
      <c r="C30" s="0" t="s">
        <v>20</v>
      </c>
      <c r="D30" s="0" t="s">
        <v>13</v>
      </c>
      <c r="E30" s="0" t="s">
        <v>14</v>
      </c>
      <c r="F30" s="1" t="s">
        <v>31</v>
      </c>
      <c r="G30" s="0" t="s">
        <v>34</v>
      </c>
      <c r="H30" s="0" t="n">
        <v>6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41</v>
      </c>
      <c r="B31" s="0" t="s">
        <v>24</v>
      </c>
      <c r="C31" s="0" t="s">
        <v>29</v>
      </c>
      <c r="D31" s="0" t="s">
        <v>13</v>
      </c>
      <c r="E31" s="0" t="s">
        <v>14</v>
      </c>
      <c r="F31" s="1" t="s">
        <v>25</v>
      </c>
      <c r="G31" s="0" t="s">
        <v>35</v>
      </c>
      <c r="H31" s="0" t="n">
        <v>6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42</v>
      </c>
      <c r="B32" s="0" t="s">
        <v>24</v>
      </c>
      <c r="C32" s="0" t="s">
        <v>27</v>
      </c>
      <c r="D32" s="0" t="s">
        <v>13</v>
      </c>
      <c r="E32" s="0" t="s">
        <v>14</v>
      </c>
      <c r="F32" s="1" t="s">
        <v>25</v>
      </c>
      <c r="G32" s="0" t="s">
        <v>35</v>
      </c>
      <c r="H32" s="0" t="n">
        <v>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42</v>
      </c>
      <c r="B33" s="0" t="s">
        <v>20</v>
      </c>
      <c r="C33" s="0" t="s">
        <v>30</v>
      </c>
      <c r="D33" s="0" t="s">
        <v>13</v>
      </c>
      <c r="E33" s="0" t="s">
        <v>14</v>
      </c>
      <c r="F33" s="1" t="s">
        <v>21</v>
      </c>
      <c r="G33" s="0" t="s">
        <v>36</v>
      </c>
      <c r="H33" s="0" t="n">
        <v>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42</v>
      </c>
      <c r="B34" s="0" t="s">
        <v>12</v>
      </c>
      <c r="C34" s="0" t="s">
        <v>26</v>
      </c>
      <c r="D34" s="0" t="s">
        <v>13</v>
      </c>
      <c r="E34" s="0" t="s">
        <v>14</v>
      </c>
      <c r="F34" s="1" t="s">
        <v>21</v>
      </c>
      <c r="G34" s="0" t="s">
        <v>37</v>
      </c>
      <c r="H34" s="0" t="n">
        <v>7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42</v>
      </c>
      <c r="B35" s="0" t="s">
        <v>11</v>
      </c>
      <c r="C35" s="0" t="s">
        <v>23</v>
      </c>
      <c r="D35" s="0" t="s">
        <v>13</v>
      </c>
      <c r="E35" s="0" t="s">
        <v>14</v>
      </c>
      <c r="F35" s="1" t="s">
        <v>15</v>
      </c>
      <c r="G35" s="0" t="s">
        <v>16</v>
      </c>
      <c r="H35" s="0" t="n">
        <v>7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42</v>
      </c>
      <c r="B36" s="0" t="s">
        <v>29</v>
      </c>
      <c r="C36" s="0" t="s">
        <v>19</v>
      </c>
      <c r="D36" s="0" t="s">
        <v>13</v>
      </c>
      <c r="E36" s="0" t="s">
        <v>14</v>
      </c>
      <c r="F36" s="1" t="s">
        <v>31</v>
      </c>
      <c r="G36" s="0" t="s">
        <v>16</v>
      </c>
      <c r="H36" s="0" t="n">
        <v>7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43</v>
      </c>
      <c r="B37" s="0" t="s">
        <v>19</v>
      </c>
      <c r="C37" s="0" t="s">
        <v>11</v>
      </c>
      <c r="D37" s="0" t="s">
        <v>13</v>
      </c>
      <c r="E37" s="0" t="s">
        <v>14</v>
      </c>
      <c r="F37" s="1" t="s">
        <v>21</v>
      </c>
      <c r="G37" s="0" t="s">
        <v>22</v>
      </c>
      <c r="H37" s="0" t="n">
        <v>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43</v>
      </c>
      <c r="B38" s="0" t="s">
        <v>23</v>
      </c>
      <c r="C38" s="0" t="s">
        <v>12</v>
      </c>
      <c r="D38" s="0" t="s">
        <v>13</v>
      </c>
      <c r="E38" s="0" t="s">
        <v>14</v>
      </c>
      <c r="F38" s="1" t="s">
        <v>25</v>
      </c>
      <c r="G38" s="0" t="s">
        <v>22</v>
      </c>
      <c r="H38" s="0" t="n">
        <v>8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43</v>
      </c>
      <c r="B39" s="0" t="s">
        <v>26</v>
      </c>
      <c r="C39" s="0" t="s">
        <v>20</v>
      </c>
      <c r="D39" s="0" t="s">
        <v>13</v>
      </c>
      <c r="E39" s="0" t="s">
        <v>14</v>
      </c>
      <c r="F39" s="1" t="s">
        <v>15</v>
      </c>
      <c r="G39" s="0" t="s">
        <v>28</v>
      </c>
      <c r="H39" s="0" t="n">
        <v>8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43</v>
      </c>
      <c r="B40" s="0" t="s">
        <v>30</v>
      </c>
      <c r="C40" s="0" t="s">
        <v>24</v>
      </c>
      <c r="D40" s="0" t="s">
        <v>13</v>
      </c>
      <c r="E40" s="0" t="s">
        <v>14</v>
      </c>
      <c r="F40" s="1" t="s">
        <v>25</v>
      </c>
      <c r="G40" s="0" t="s">
        <v>33</v>
      </c>
      <c r="H40" s="0" t="n">
        <v>8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43</v>
      </c>
      <c r="B41" s="0" t="s">
        <v>29</v>
      </c>
      <c r="C41" s="0" t="s">
        <v>27</v>
      </c>
      <c r="D41" s="0" t="s">
        <v>13</v>
      </c>
      <c r="E41" s="0" t="s">
        <v>14</v>
      </c>
      <c r="F41" s="1" t="s">
        <v>31</v>
      </c>
      <c r="G41" s="0" t="s">
        <v>16</v>
      </c>
      <c r="H41" s="0" t="n">
        <v>8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44</v>
      </c>
      <c r="B42" s="0" t="s">
        <v>27</v>
      </c>
      <c r="C42" s="0" t="s">
        <v>30</v>
      </c>
      <c r="D42" s="0" t="s">
        <v>13</v>
      </c>
      <c r="E42" s="0" t="s">
        <v>14</v>
      </c>
      <c r="F42" s="1" t="s">
        <v>31</v>
      </c>
      <c r="G42" s="0" t="s">
        <v>34</v>
      </c>
      <c r="H42" s="0" t="n">
        <v>9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44</v>
      </c>
      <c r="B43" s="0" t="s">
        <v>24</v>
      </c>
      <c r="C43" s="0" t="s">
        <v>26</v>
      </c>
      <c r="D43" s="0" t="s">
        <v>13</v>
      </c>
      <c r="E43" s="0" t="s">
        <v>14</v>
      </c>
      <c r="F43" s="1" t="s">
        <v>25</v>
      </c>
      <c r="G43" s="0" t="s">
        <v>35</v>
      </c>
      <c r="H43" s="0" t="n">
        <v>9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44</v>
      </c>
      <c r="B44" s="0" t="s">
        <v>20</v>
      </c>
      <c r="C44" s="0" t="s">
        <v>23</v>
      </c>
      <c r="D44" s="0" t="s">
        <v>13</v>
      </c>
      <c r="E44" s="0" t="s">
        <v>14</v>
      </c>
      <c r="F44" s="1" t="s">
        <v>21</v>
      </c>
      <c r="G44" s="0" t="s">
        <v>36</v>
      </c>
      <c r="H44" s="0" t="n">
        <v>9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44</v>
      </c>
      <c r="B45" s="0" t="s">
        <v>12</v>
      </c>
      <c r="C45" s="0" t="s">
        <v>19</v>
      </c>
      <c r="D45" s="0" t="s">
        <v>13</v>
      </c>
      <c r="E45" s="0" t="s">
        <v>14</v>
      </c>
      <c r="F45" s="1" t="s">
        <v>21</v>
      </c>
      <c r="G45" s="0" t="s">
        <v>37</v>
      </c>
      <c r="H45" s="0" t="n">
        <v>9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44</v>
      </c>
      <c r="B46" s="0" t="s">
        <v>11</v>
      </c>
      <c r="C46" s="0" t="s">
        <v>29</v>
      </c>
      <c r="D46" s="0" t="s">
        <v>13</v>
      </c>
      <c r="E46" s="0" t="s">
        <v>14</v>
      </c>
      <c r="F46" s="1" t="s">
        <v>15</v>
      </c>
      <c r="G46" s="0" t="s">
        <v>16</v>
      </c>
      <c r="H46" s="0" t="n">
        <v>9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10</v>
      </c>
      <c r="B47" s="0" t="s">
        <v>45</v>
      </c>
      <c r="C47" s="0" t="s">
        <v>46</v>
      </c>
      <c r="D47" s="0" t="s">
        <v>13</v>
      </c>
      <c r="E47" s="0" t="s">
        <v>47</v>
      </c>
      <c r="F47" s="1" t="s">
        <v>48</v>
      </c>
      <c r="G47" s="0" t="s">
        <v>49</v>
      </c>
      <c r="H47" s="0" t="n">
        <v>1</v>
      </c>
      <c r="I47" s="0" t="s">
        <v>17</v>
      </c>
      <c r="J47" s="0" t="s">
        <v>18</v>
      </c>
    </row>
    <row r="48" customFormat="false" ht="12.5" hidden="false" customHeight="false" outlineLevel="0" collapsed="false">
      <c r="A48" s="1" t="s">
        <v>10</v>
      </c>
      <c r="B48" s="0" t="s">
        <v>50</v>
      </c>
      <c r="C48" s="0" t="s">
        <v>51</v>
      </c>
      <c r="D48" s="0" t="s">
        <v>13</v>
      </c>
      <c r="E48" s="0" t="s">
        <v>47</v>
      </c>
      <c r="F48" s="1" t="s">
        <v>25</v>
      </c>
      <c r="G48" s="0" t="s">
        <v>52</v>
      </c>
      <c r="H48" s="0" t="n">
        <v>1</v>
      </c>
      <c r="I48" s="0" t="s">
        <v>17</v>
      </c>
      <c r="J48" s="0" t="s">
        <v>18</v>
      </c>
    </row>
    <row r="49" customFormat="false" ht="12.5" hidden="false" customHeight="false" outlineLevel="0" collapsed="false">
      <c r="A49" s="1" t="s">
        <v>10</v>
      </c>
      <c r="B49" s="0" t="s">
        <v>53</v>
      </c>
      <c r="C49" s="0" t="s">
        <v>54</v>
      </c>
      <c r="D49" s="0" t="s">
        <v>13</v>
      </c>
      <c r="E49" s="0" t="s">
        <v>47</v>
      </c>
      <c r="F49" s="1" t="s">
        <v>55</v>
      </c>
      <c r="G49" s="0" t="s">
        <v>56</v>
      </c>
      <c r="H49" s="0" t="n">
        <v>1</v>
      </c>
      <c r="I49" s="0" t="s">
        <v>17</v>
      </c>
      <c r="J49" s="0" t="s">
        <v>18</v>
      </c>
    </row>
    <row r="50" customFormat="false" ht="12.5" hidden="false" customHeight="false" outlineLevel="0" collapsed="false">
      <c r="A50" s="1" t="s">
        <v>10</v>
      </c>
      <c r="B50" s="0" t="s">
        <v>57</v>
      </c>
      <c r="C50" s="0" t="s">
        <v>58</v>
      </c>
      <c r="D50" s="0" t="s">
        <v>13</v>
      </c>
      <c r="E50" s="0" t="s">
        <v>47</v>
      </c>
      <c r="F50" s="1" t="s">
        <v>31</v>
      </c>
      <c r="G50" s="0" t="s">
        <v>59</v>
      </c>
      <c r="H50" s="0" t="n">
        <v>1</v>
      </c>
      <c r="I50" s="0" t="s">
        <v>17</v>
      </c>
      <c r="J50" s="0" t="s">
        <v>18</v>
      </c>
    </row>
    <row r="51" customFormat="false" ht="12.5" hidden="false" customHeight="false" outlineLevel="0" collapsed="false">
      <c r="A51" s="1" t="s">
        <v>10</v>
      </c>
      <c r="B51" s="0" t="s">
        <v>60</v>
      </c>
      <c r="C51" s="0" t="s">
        <v>61</v>
      </c>
      <c r="D51" s="0" t="s">
        <v>13</v>
      </c>
      <c r="E51" s="0" t="s">
        <v>47</v>
      </c>
      <c r="F51" s="1" t="s">
        <v>25</v>
      </c>
      <c r="G51" s="0" t="s">
        <v>62</v>
      </c>
      <c r="H51" s="0" t="n">
        <v>1</v>
      </c>
      <c r="I51" s="0" t="s">
        <v>17</v>
      </c>
      <c r="J51" s="0" t="s">
        <v>18</v>
      </c>
    </row>
    <row r="52" customFormat="false" ht="12.5" hidden="false" customHeight="false" outlineLevel="0" collapsed="false">
      <c r="A52" s="1" t="s">
        <v>32</v>
      </c>
      <c r="B52" s="0" t="s">
        <v>61</v>
      </c>
      <c r="C52" s="0" t="s">
        <v>57</v>
      </c>
      <c r="D52" s="0" t="s">
        <v>13</v>
      </c>
      <c r="E52" s="0" t="s">
        <v>47</v>
      </c>
      <c r="F52" s="1" t="s">
        <v>15</v>
      </c>
      <c r="G52" s="0" t="s">
        <v>63</v>
      </c>
      <c r="H52" s="0" t="n">
        <v>2</v>
      </c>
      <c r="I52" s="0" t="s">
        <v>17</v>
      </c>
      <c r="J52" s="0" t="s">
        <v>18</v>
      </c>
    </row>
    <row r="53" customFormat="false" ht="12.5" hidden="false" customHeight="false" outlineLevel="0" collapsed="false">
      <c r="A53" s="1" t="s">
        <v>32</v>
      </c>
      <c r="B53" s="0" t="s">
        <v>58</v>
      </c>
      <c r="C53" s="0" t="s">
        <v>53</v>
      </c>
      <c r="D53" s="0" t="s">
        <v>13</v>
      </c>
      <c r="E53" s="0" t="s">
        <v>47</v>
      </c>
      <c r="F53" s="1" t="s">
        <v>15</v>
      </c>
      <c r="G53" s="0" t="s">
        <v>64</v>
      </c>
      <c r="H53" s="0" t="n">
        <v>2</v>
      </c>
      <c r="I53" s="0" t="s">
        <v>17</v>
      </c>
      <c r="J53" s="0" t="s">
        <v>18</v>
      </c>
    </row>
    <row r="54" customFormat="false" ht="12.5" hidden="false" customHeight="false" outlineLevel="0" collapsed="false">
      <c r="A54" s="1" t="s">
        <v>32</v>
      </c>
      <c r="B54" s="0" t="s">
        <v>54</v>
      </c>
      <c r="C54" s="0" t="s">
        <v>50</v>
      </c>
      <c r="D54" s="0" t="s">
        <v>13</v>
      </c>
      <c r="E54" s="0" t="s">
        <v>47</v>
      </c>
      <c r="F54" s="1" t="s">
        <v>31</v>
      </c>
      <c r="G54" s="0" t="s">
        <v>65</v>
      </c>
      <c r="H54" s="0" t="n">
        <v>2</v>
      </c>
      <c r="I54" s="0" t="s">
        <v>17</v>
      </c>
      <c r="J54" s="0" t="s">
        <v>18</v>
      </c>
    </row>
    <row r="55" customFormat="false" ht="12.5" hidden="false" customHeight="false" outlineLevel="0" collapsed="false">
      <c r="A55" s="1" t="s">
        <v>32</v>
      </c>
      <c r="B55" s="0" t="s">
        <v>51</v>
      </c>
      <c r="C55" s="0" t="s">
        <v>45</v>
      </c>
      <c r="D55" s="0" t="s">
        <v>13</v>
      </c>
      <c r="E55" s="0" t="s">
        <v>47</v>
      </c>
      <c r="F55" s="1" t="s">
        <v>31</v>
      </c>
      <c r="G55" s="0" t="s">
        <v>63</v>
      </c>
      <c r="H55" s="0" t="n">
        <v>2</v>
      </c>
      <c r="I55" s="0" t="s">
        <v>17</v>
      </c>
      <c r="J55" s="0" t="s">
        <v>18</v>
      </c>
    </row>
    <row r="56" customFormat="false" ht="12.5" hidden="false" customHeight="false" outlineLevel="0" collapsed="false">
      <c r="A56" s="1" t="s">
        <v>32</v>
      </c>
      <c r="B56" s="0" t="s">
        <v>46</v>
      </c>
      <c r="C56" s="0" t="s">
        <v>60</v>
      </c>
      <c r="D56" s="0" t="s">
        <v>13</v>
      </c>
      <c r="E56" s="0" t="s">
        <v>47</v>
      </c>
      <c r="F56" s="1" t="s">
        <v>21</v>
      </c>
      <c r="G56" s="0" t="s">
        <v>66</v>
      </c>
      <c r="H56" s="0" t="n">
        <v>2</v>
      </c>
      <c r="I56" s="0" t="s">
        <v>17</v>
      </c>
      <c r="J56" s="0" t="s">
        <v>18</v>
      </c>
    </row>
    <row r="57" customFormat="false" ht="12.5" hidden="false" customHeight="false" outlineLevel="0" collapsed="false">
      <c r="A57" s="1" t="s">
        <v>38</v>
      </c>
      <c r="B57" s="0" t="s">
        <v>46</v>
      </c>
      <c r="C57" s="0" t="s">
        <v>51</v>
      </c>
      <c r="D57" s="0" t="s">
        <v>13</v>
      </c>
      <c r="E57" s="0" t="s">
        <v>47</v>
      </c>
      <c r="F57" s="1" t="s">
        <v>21</v>
      </c>
      <c r="G57" s="0" t="s">
        <v>66</v>
      </c>
      <c r="H57" s="0" t="n">
        <v>3</v>
      </c>
      <c r="I57" s="0" t="s">
        <v>17</v>
      </c>
      <c r="J57" s="0" t="s">
        <v>18</v>
      </c>
    </row>
    <row r="58" customFormat="false" ht="12.5" hidden="false" customHeight="false" outlineLevel="0" collapsed="false">
      <c r="A58" s="1" t="s">
        <v>38</v>
      </c>
      <c r="B58" s="0" t="s">
        <v>45</v>
      </c>
      <c r="C58" s="0" t="s">
        <v>54</v>
      </c>
      <c r="D58" s="0" t="s">
        <v>13</v>
      </c>
      <c r="E58" s="0" t="s">
        <v>47</v>
      </c>
      <c r="F58" s="1" t="s">
        <v>48</v>
      </c>
      <c r="G58" s="0" t="s">
        <v>49</v>
      </c>
      <c r="H58" s="0" t="n">
        <v>3</v>
      </c>
      <c r="I58" s="0" t="s">
        <v>17</v>
      </c>
      <c r="J58" s="0" t="s">
        <v>18</v>
      </c>
    </row>
    <row r="59" customFormat="false" ht="12.5" hidden="false" customHeight="false" outlineLevel="0" collapsed="false">
      <c r="A59" s="1" t="s">
        <v>38</v>
      </c>
      <c r="B59" s="0" t="s">
        <v>50</v>
      </c>
      <c r="C59" s="0" t="s">
        <v>58</v>
      </c>
      <c r="D59" s="0" t="s">
        <v>13</v>
      </c>
      <c r="E59" s="0" t="s">
        <v>47</v>
      </c>
      <c r="F59" s="1" t="s">
        <v>25</v>
      </c>
      <c r="G59" s="0" t="s">
        <v>52</v>
      </c>
      <c r="H59" s="0" t="n">
        <v>3</v>
      </c>
      <c r="I59" s="0" t="s">
        <v>17</v>
      </c>
      <c r="J59" s="0" t="s">
        <v>18</v>
      </c>
    </row>
    <row r="60" customFormat="false" ht="12.5" hidden="false" customHeight="false" outlineLevel="0" collapsed="false">
      <c r="A60" s="1" t="s">
        <v>38</v>
      </c>
      <c r="B60" s="0" t="s">
        <v>53</v>
      </c>
      <c r="C60" s="0" t="s">
        <v>61</v>
      </c>
      <c r="D60" s="0" t="s">
        <v>13</v>
      </c>
      <c r="E60" s="0" t="s">
        <v>47</v>
      </c>
      <c r="F60" s="1" t="s">
        <v>55</v>
      </c>
      <c r="G60" s="0" t="s">
        <v>56</v>
      </c>
      <c r="H60" s="0" t="n">
        <v>3</v>
      </c>
      <c r="I60" s="0" t="s">
        <v>17</v>
      </c>
      <c r="J60" s="0" t="s">
        <v>18</v>
      </c>
    </row>
    <row r="61" customFormat="false" ht="12.5" hidden="false" customHeight="false" outlineLevel="0" collapsed="false">
      <c r="A61" s="1" t="s">
        <v>38</v>
      </c>
      <c r="B61" s="0" t="s">
        <v>60</v>
      </c>
      <c r="C61" s="0" t="s">
        <v>57</v>
      </c>
      <c r="D61" s="0" t="s">
        <v>13</v>
      </c>
      <c r="E61" s="0" t="s">
        <v>47</v>
      </c>
      <c r="F61" s="1" t="s">
        <v>25</v>
      </c>
      <c r="G61" s="0" t="s">
        <v>62</v>
      </c>
      <c r="H61" s="0" t="n">
        <v>3</v>
      </c>
      <c r="I61" s="0" t="s">
        <v>17</v>
      </c>
      <c r="J61" s="0" t="s">
        <v>18</v>
      </c>
    </row>
    <row r="62" customFormat="false" ht="12.5" hidden="false" customHeight="false" outlineLevel="0" collapsed="false">
      <c r="A62" s="1" t="s">
        <v>39</v>
      </c>
      <c r="B62" s="0" t="s">
        <v>57</v>
      </c>
      <c r="C62" s="0" t="s">
        <v>53</v>
      </c>
      <c r="D62" s="0" t="s">
        <v>13</v>
      </c>
      <c r="E62" s="0" t="s">
        <v>47</v>
      </c>
      <c r="F62" s="1" t="s">
        <v>31</v>
      </c>
      <c r="G62" s="0" t="s">
        <v>59</v>
      </c>
      <c r="H62" s="0" t="n">
        <v>4</v>
      </c>
      <c r="I62" s="0" t="s">
        <v>17</v>
      </c>
      <c r="J62" s="0" t="s">
        <v>18</v>
      </c>
    </row>
    <row r="63" customFormat="false" ht="12.5" hidden="false" customHeight="false" outlineLevel="0" collapsed="false">
      <c r="A63" s="1" t="s">
        <v>39</v>
      </c>
      <c r="B63" s="0" t="s">
        <v>61</v>
      </c>
      <c r="C63" s="0" t="s">
        <v>50</v>
      </c>
      <c r="D63" s="0" t="s">
        <v>13</v>
      </c>
      <c r="E63" s="0" t="s">
        <v>47</v>
      </c>
      <c r="F63" s="1" t="s">
        <v>15</v>
      </c>
      <c r="G63" s="0" t="s">
        <v>63</v>
      </c>
      <c r="H63" s="0" t="n">
        <v>4</v>
      </c>
      <c r="I63" s="0" t="s">
        <v>17</v>
      </c>
      <c r="J63" s="0" t="s">
        <v>18</v>
      </c>
    </row>
    <row r="64" customFormat="false" ht="12.5" hidden="false" customHeight="false" outlineLevel="0" collapsed="false">
      <c r="A64" s="1" t="s">
        <v>39</v>
      </c>
      <c r="B64" s="0" t="s">
        <v>58</v>
      </c>
      <c r="C64" s="0" t="s">
        <v>45</v>
      </c>
      <c r="D64" s="0" t="s">
        <v>13</v>
      </c>
      <c r="E64" s="0" t="s">
        <v>47</v>
      </c>
      <c r="F64" s="1" t="s">
        <v>15</v>
      </c>
      <c r="G64" s="0" t="s">
        <v>64</v>
      </c>
      <c r="H64" s="0" t="n">
        <v>4</v>
      </c>
      <c r="I64" s="0" t="s">
        <v>17</v>
      </c>
      <c r="J64" s="0" t="s">
        <v>18</v>
      </c>
    </row>
    <row r="65" customFormat="false" ht="12.5" hidden="false" customHeight="false" outlineLevel="0" collapsed="false">
      <c r="A65" s="1" t="s">
        <v>39</v>
      </c>
      <c r="B65" s="0" t="s">
        <v>54</v>
      </c>
      <c r="C65" s="0" t="s">
        <v>46</v>
      </c>
      <c r="D65" s="0" t="s">
        <v>13</v>
      </c>
      <c r="E65" s="0" t="s">
        <v>47</v>
      </c>
      <c r="F65" s="1" t="s">
        <v>31</v>
      </c>
      <c r="G65" s="0" t="s">
        <v>65</v>
      </c>
      <c r="H65" s="0" t="n">
        <v>4</v>
      </c>
      <c r="I65" s="0" t="s">
        <v>17</v>
      </c>
      <c r="J65" s="0" t="s">
        <v>18</v>
      </c>
    </row>
    <row r="66" customFormat="false" ht="12.5" hidden="false" customHeight="false" outlineLevel="0" collapsed="false">
      <c r="A66" s="1" t="s">
        <v>39</v>
      </c>
      <c r="B66" s="0" t="s">
        <v>51</v>
      </c>
      <c r="C66" s="0" t="s">
        <v>60</v>
      </c>
      <c r="D66" s="0" t="s">
        <v>13</v>
      </c>
      <c r="E66" s="0" t="s">
        <v>47</v>
      </c>
      <c r="F66" s="1" t="s">
        <v>31</v>
      </c>
      <c r="G66" s="0" t="s">
        <v>63</v>
      </c>
      <c r="H66" s="0" t="n">
        <v>4</v>
      </c>
      <c r="I66" s="0" t="s">
        <v>17</v>
      </c>
      <c r="J66" s="0" t="s">
        <v>18</v>
      </c>
    </row>
    <row r="67" customFormat="false" ht="12.5" hidden="false" customHeight="false" outlineLevel="0" collapsed="false">
      <c r="A67" s="1" t="s">
        <v>40</v>
      </c>
      <c r="B67" s="0" t="s">
        <v>51</v>
      </c>
      <c r="C67" s="0" t="s">
        <v>54</v>
      </c>
      <c r="D67" s="0" t="s">
        <v>13</v>
      </c>
      <c r="E67" s="0" t="s">
        <v>47</v>
      </c>
      <c r="F67" s="1" t="s">
        <v>31</v>
      </c>
      <c r="G67" s="0" t="s">
        <v>63</v>
      </c>
      <c r="H67" s="0" t="n">
        <v>5</v>
      </c>
      <c r="I67" s="0" t="s">
        <v>17</v>
      </c>
      <c r="J67" s="0" t="s">
        <v>18</v>
      </c>
    </row>
    <row r="68" customFormat="false" ht="12.5" hidden="false" customHeight="false" outlineLevel="0" collapsed="false">
      <c r="A68" s="1" t="s">
        <v>40</v>
      </c>
      <c r="B68" s="0" t="s">
        <v>46</v>
      </c>
      <c r="C68" s="0" t="s">
        <v>58</v>
      </c>
      <c r="D68" s="0" t="s">
        <v>13</v>
      </c>
      <c r="E68" s="0" t="s">
        <v>47</v>
      </c>
      <c r="F68" s="1" t="s">
        <v>21</v>
      </c>
      <c r="G68" s="0" t="s">
        <v>66</v>
      </c>
      <c r="H68" s="0" t="n">
        <v>5</v>
      </c>
      <c r="I68" s="0" t="s">
        <v>17</v>
      </c>
      <c r="J68" s="0" t="s">
        <v>18</v>
      </c>
    </row>
    <row r="69" customFormat="false" ht="12.5" hidden="false" customHeight="false" outlineLevel="0" collapsed="false">
      <c r="A69" s="1" t="s">
        <v>40</v>
      </c>
      <c r="B69" s="0" t="s">
        <v>45</v>
      </c>
      <c r="C69" s="0" t="s">
        <v>61</v>
      </c>
      <c r="D69" s="0" t="s">
        <v>13</v>
      </c>
      <c r="E69" s="0" t="s">
        <v>47</v>
      </c>
      <c r="F69" s="1" t="s">
        <v>48</v>
      </c>
      <c r="G69" s="0" t="s">
        <v>49</v>
      </c>
      <c r="H69" s="0" t="n">
        <v>5</v>
      </c>
      <c r="I69" s="0" t="s">
        <v>17</v>
      </c>
      <c r="J69" s="0" t="s">
        <v>18</v>
      </c>
    </row>
    <row r="70" customFormat="false" ht="12.5" hidden="false" customHeight="false" outlineLevel="0" collapsed="false">
      <c r="A70" s="1" t="s">
        <v>40</v>
      </c>
      <c r="B70" s="0" t="s">
        <v>50</v>
      </c>
      <c r="C70" s="0" t="s">
        <v>57</v>
      </c>
      <c r="D70" s="0" t="s">
        <v>13</v>
      </c>
      <c r="E70" s="0" t="s">
        <v>47</v>
      </c>
      <c r="F70" s="1" t="s">
        <v>25</v>
      </c>
      <c r="G70" s="0" t="s">
        <v>52</v>
      </c>
      <c r="H70" s="0" t="n">
        <v>5</v>
      </c>
      <c r="I70" s="0" t="s">
        <v>17</v>
      </c>
      <c r="J70" s="0" t="s">
        <v>18</v>
      </c>
    </row>
    <row r="71" customFormat="false" ht="12.5" hidden="false" customHeight="false" outlineLevel="0" collapsed="false">
      <c r="A71" s="1" t="s">
        <v>40</v>
      </c>
      <c r="B71" s="0" t="s">
        <v>60</v>
      </c>
      <c r="C71" s="0" t="s">
        <v>53</v>
      </c>
      <c r="D71" s="0" t="s">
        <v>13</v>
      </c>
      <c r="E71" s="0" t="s">
        <v>47</v>
      </c>
      <c r="F71" s="1" t="s">
        <v>25</v>
      </c>
      <c r="G71" s="0" t="s">
        <v>62</v>
      </c>
      <c r="H71" s="0" t="n">
        <v>5</v>
      </c>
      <c r="I71" s="0" t="s">
        <v>17</v>
      </c>
      <c r="J71" s="0" t="s">
        <v>18</v>
      </c>
    </row>
    <row r="72" customFormat="false" ht="12.5" hidden="false" customHeight="false" outlineLevel="0" collapsed="false">
      <c r="A72" s="1" t="s">
        <v>41</v>
      </c>
      <c r="B72" s="0" t="s">
        <v>53</v>
      </c>
      <c r="C72" s="0" t="s">
        <v>50</v>
      </c>
      <c r="D72" s="0" t="s">
        <v>13</v>
      </c>
      <c r="E72" s="0" t="s">
        <v>47</v>
      </c>
      <c r="F72" s="1" t="s">
        <v>55</v>
      </c>
      <c r="G72" s="0" t="s">
        <v>56</v>
      </c>
      <c r="H72" s="0" t="n">
        <v>6</v>
      </c>
      <c r="I72" s="0" t="s">
        <v>17</v>
      </c>
      <c r="J72" s="0" t="s">
        <v>18</v>
      </c>
    </row>
    <row r="73" customFormat="false" ht="12.5" hidden="false" customHeight="false" outlineLevel="0" collapsed="false">
      <c r="A73" s="1" t="s">
        <v>41</v>
      </c>
      <c r="B73" s="0" t="s">
        <v>57</v>
      </c>
      <c r="C73" s="0" t="s">
        <v>45</v>
      </c>
      <c r="D73" s="0" t="s">
        <v>13</v>
      </c>
      <c r="E73" s="0" t="s">
        <v>47</v>
      </c>
      <c r="F73" s="1" t="s">
        <v>31</v>
      </c>
      <c r="G73" s="0" t="s">
        <v>59</v>
      </c>
      <c r="H73" s="0" t="n">
        <v>6</v>
      </c>
      <c r="I73" s="0" t="s">
        <v>17</v>
      </c>
      <c r="J73" s="0" t="s">
        <v>18</v>
      </c>
    </row>
    <row r="74" customFormat="false" ht="12.5" hidden="false" customHeight="false" outlineLevel="0" collapsed="false">
      <c r="A74" s="1" t="s">
        <v>41</v>
      </c>
      <c r="B74" s="0" t="s">
        <v>61</v>
      </c>
      <c r="C74" s="0" t="s">
        <v>46</v>
      </c>
      <c r="D74" s="0" t="s">
        <v>13</v>
      </c>
      <c r="E74" s="0" t="s">
        <v>47</v>
      </c>
      <c r="F74" s="1" t="s">
        <v>15</v>
      </c>
      <c r="G74" s="0" t="s">
        <v>63</v>
      </c>
      <c r="H74" s="0" t="n">
        <v>6</v>
      </c>
      <c r="I74" s="0" t="s">
        <v>17</v>
      </c>
      <c r="J74" s="0" t="s">
        <v>18</v>
      </c>
    </row>
    <row r="75" customFormat="false" ht="12.5" hidden="false" customHeight="false" outlineLevel="0" collapsed="false">
      <c r="A75" s="1" t="s">
        <v>41</v>
      </c>
      <c r="B75" s="0" t="s">
        <v>58</v>
      </c>
      <c r="C75" s="0" t="s">
        <v>51</v>
      </c>
      <c r="D75" s="0" t="s">
        <v>13</v>
      </c>
      <c r="E75" s="0" t="s">
        <v>47</v>
      </c>
      <c r="F75" s="1" t="s">
        <v>15</v>
      </c>
      <c r="G75" s="0" t="s">
        <v>64</v>
      </c>
      <c r="H75" s="0" t="n">
        <v>6</v>
      </c>
      <c r="I75" s="0" t="s">
        <v>17</v>
      </c>
      <c r="J75" s="0" t="s">
        <v>18</v>
      </c>
    </row>
    <row r="76" customFormat="false" ht="12.5" hidden="false" customHeight="false" outlineLevel="0" collapsed="false">
      <c r="A76" s="1" t="s">
        <v>41</v>
      </c>
      <c r="B76" s="0" t="s">
        <v>54</v>
      </c>
      <c r="C76" s="0" t="s">
        <v>60</v>
      </c>
      <c r="D76" s="0" t="s">
        <v>13</v>
      </c>
      <c r="E76" s="0" t="s">
        <v>47</v>
      </c>
      <c r="F76" s="1" t="s">
        <v>31</v>
      </c>
      <c r="G76" s="0" t="s">
        <v>65</v>
      </c>
      <c r="H76" s="0" t="n">
        <v>6</v>
      </c>
      <c r="I76" s="0" t="s">
        <v>17</v>
      </c>
      <c r="J76" s="0" t="s">
        <v>18</v>
      </c>
    </row>
    <row r="77" customFormat="false" ht="12.5" hidden="false" customHeight="false" outlineLevel="0" collapsed="false">
      <c r="A77" s="1" t="s">
        <v>42</v>
      </c>
      <c r="B77" s="0" t="s">
        <v>54</v>
      </c>
      <c r="C77" s="0" t="s">
        <v>58</v>
      </c>
      <c r="D77" s="0" t="s">
        <v>13</v>
      </c>
      <c r="E77" s="0" t="s">
        <v>47</v>
      </c>
      <c r="F77" s="1" t="s">
        <v>31</v>
      </c>
      <c r="G77" s="0" t="s">
        <v>65</v>
      </c>
      <c r="H77" s="0" t="n">
        <v>7</v>
      </c>
      <c r="I77" s="0" t="s">
        <v>17</v>
      </c>
      <c r="J77" s="0" t="s">
        <v>18</v>
      </c>
    </row>
    <row r="78" customFormat="false" ht="12.5" hidden="false" customHeight="false" outlineLevel="0" collapsed="false">
      <c r="A78" s="1" t="s">
        <v>42</v>
      </c>
      <c r="B78" s="0" t="s">
        <v>51</v>
      </c>
      <c r="C78" s="0" t="s">
        <v>61</v>
      </c>
      <c r="D78" s="0" t="s">
        <v>13</v>
      </c>
      <c r="E78" s="0" t="s">
        <v>47</v>
      </c>
      <c r="F78" s="1" t="s">
        <v>31</v>
      </c>
      <c r="G78" s="0" t="s">
        <v>63</v>
      </c>
      <c r="H78" s="0" t="n">
        <v>7</v>
      </c>
      <c r="I78" s="0" t="s">
        <v>17</v>
      </c>
      <c r="J78" s="0" t="s">
        <v>18</v>
      </c>
    </row>
    <row r="79" customFormat="false" ht="12.5" hidden="false" customHeight="false" outlineLevel="0" collapsed="false">
      <c r="A79" s="1" t="s">
        <v>42</v>
      </c>
      <c r="B79" s="0" t="s">
        <v>46</v>
      </c>
      <c r="C79" s="0" t="s">
        <v>57</v>
      </c>
      <c r="D79" s="0" t="s">
        <v>13</v>
      </c>
      <c r="E79" s="0" t="s">
        <v>47</v>
      </c>
      <c r="F79" s="1" t="s">
        <v>21</v>
      </c>
      <c r="G79" s="0" t="s">
        <v>66</v>
      </c>
      <c r="H79" s="0" t="n">
        <v>7</v>
      </c>
      <c r="I79" s="0" t="s">
        <v>17</v>
      </c>
      <c r="J79" s="0" t="s">
        <v>18</v>
      </c>
    </row>
    <row r="80" customFormat="false" ht="12.5" hidden="false" customHeight="false" outlineLevel="0" collapsed="false">
      <c r="A80" s="1" t="s">
        <v>42</v>
      </c>
      <c r="B80" s="0" t="s">
        <v>45</v>
      </c>
      <c r="C80" s="0" t="s">
        <v>53</v>
      </c>
      <c r="D80" s="0" t="s">
        <v>13</v>
      </c>
      <c r="E80" s="0" t="s">
        <v>47</v>
      </c>
      <c r="F80" s="1" t="s">
        <v>48</v>
      </c>
      <c r="G80" s="0" t="s">
        <v>49</v>
      </c>
      <c r="H80" s="0" t="n">
        <v>7</v>
      </c>
      <c r="I80" s="0" t="s">
        <v>17</v>
      </c>
      <c r="J80" s="0" t="s">
        <v>18</v>
      </c>
    </row>
    <row r="81" customFormat="false" ht="12.5" hidden="false" customHeight="false" outlineLevel="0" collapsed="false">
      <c r="A81" s="1" t="s">
        <v>42</v>
      </c>
      <c r="B81" s="0" t="s">
        <v>60</v>
      </c>
      <c r="C81" s="0" t="s">
        <v>50</v>
      </c>
      <c r="D81" s="0" t="s">
        <v>13</v>
      </c>
      <c r="E81" s="0" t="s">
        <v>47</v>
      </c>
      <c r="F81" s="1" t="s">
        <v>25</v>
      </c>
      <c r="G81" s="0" t="s">
        <v>62</v>
      </c>
      <c r="H81" s="0" t="n">
        <v>7</v>
      </c>
      <c r="I81" s="0" t="s">
        <v>17</v>
      </c>
      <c r="J81" s="0" t="s">
        <v>18</v>
      </c>
    </row>
    <row r="82" customFormat="false" ht="12.5" hidden="false" customHeight="false" outlineLevel="0" collapsed="false">
      <c r="A82" s="1" t="s">
        <v>43</v>
      </c>
      <c r="B82" s="0" t="s">
        <v>50</v>
      </c>
      <c r="C82" s="0" t="s">
        <v>45</v>
      </c>
      <c r="D82" s="0" t="s">
        <v>13</v>
      </c>
      <c r="E82" s="0" t="s">
        <v>47</v>
      </c>
      <c r="F82" s="1" t="s">
        <v>25</v>
      </c>
      <c r="G82" s="0" t="s">
        <v>52</v>
      </c>
      <c r="H82" s="0" t="n">
        <v>8</v>
      </c>
      <c r="I82" s="0" t="s">
        <v>17</v>
      </c>
      <c r="J82" s="0" t="s">
        <v>18</v>
      </c>
    </row>
    <row r="83" customFormat="false" ht="12.5" hidden="false" customHeight="false" outlineLevel="0" collapsed="false">
      <c r="A83" s="1" t="s">
        <v>43</v>
      </c>
      <c r="B83" s="0" t="s">
        <v>53</v>
      </c>
      <c r="C83" s="0" t="s">
        <v>46</v>
      </c>
      <c r="D83" s="0" t="s">
        <v>13</v>
      </c>
      <c r="E83" s="0" t="s">
        <v>47</v>
      </c>
      <c r="F83" s="1" t="s">
        <v>55</v>
      </c>
      <c r="G83" s="0" t="s">
        <v>56</v>
      </c>
      <c r="H83" s="0" t="n">
        <v>8</v>
      </c>
      <c r="I83" s="0" t="s">
        <v>17</v>
      </c>
      <c r="J83" s="0" t="s">
        <v>18</v>
      </c>
    </row>
    <row r="84" customFormat="false" ht="12.5" hidden="false" customHeight="false" outlineLevel="0" collapsed="false">
      <c r="A84" s="1" t="s">
        <v>43</v>
      </c>
      <c r="B84" s="0" t="s">
        <v>57</v>
      </c>
      <c r="C84" s="0" t="s">
        <v>51</v>
      </c>
      <c r="D84" s="0" t="s">
        <v>13</v>
      </c>
      <c r="E84" s="0" t="s">
        <v>47</v>
      </c>
      <c r="F84" s="1" t="s">
        <v>31</v>
      </c>
      <c r="G84" s="0" t="s">
        <v>59</v>
      </c>
      <c r="H84" s="0" t="n">
        <v>8</v>
      </c>
      <c r="I84" s="0" t="s">
        <v>17</v>
      </c>
      <c r="J84" s="0" t="s">
        <v>18</v>
      </c>
    </row>
    <row r="85" customFormat="false" ht="12.5" hidden="false" customHeight="false" outlineLevel="0" collapsed="false">
      <c r="A85" s="1" t="s">
        <v>43</v>
      </c>
      <c r="B85" s="0" t="s">
        <v>61</v>
      </c>
      <c r="C85" s="0" t="s">
        <v>54</v>
      </c>
      <c r="D85" s="0" t="s">
        <v>13</v>
      </c>
      <c r="E85" s="0" t="s">
        <v>47</v>
      </c>
      <c r="F85" s="1" t="s">
        <v>15</v>
      </c>
      <c r="G85" s="0" t="s">
        <v>63</v>
      </c>
      <c r="H85" s="0" t="n">
        <v>8</v>
      </c>
      <c r="I85" s="0" t="s">
        <v>17</v>
      </c>
      <c r="J85" s="0" t="s">
        <v>18</v>
      </c>
    </row>
    <row r="86" customFormat="false" ht="12.5" hidden="false" customHeight="false" outlineLevel="0" collapsed="false">
      <c r="A86" s="1" t="s">
        <v>43</v>
      </c>
      <c r="B86" s="0" t="s">
        <v>60</v>
      </c>
      <c r="C86" s="0" t="s">
        <v>58</v>
      </c>
      <c r="D86" s="0" t="s">
        <v>13</v>
      </c>
      <c r="E86" s="0" t="s">
        <v>47</v>
      </c>
      <c r="F86" s="1" t="s">
        <v>25</v>
      </c>
      <c r="G86" s="0" t="s">
        <v>62</v>
      </c>
      <c r="H86" s="0" t="n">
        <v>8</v>
      </c>
      <c r="I86" s="0" t="s">
        <v>17</v>
      </c>
      <c r="J86" s="0" t="s">
        <v>18</v>
      </c>
    </row>
    <row r="87" customFormat="false" ht="12.5" hidden="false" customHeight="false" outlineLevel="0" collapsed="false">
      <c r="A87" s="1" t="s">
        <v>44</v>
      </c>
      <c r="B87" s="0" t="s">
        <v>58</v>
      </c>
      <c r="C87" s="0" t="s">
        <v>61</v>
      </c>
      <c r="D87" s="0" t="s">
        <v>13</v>
      </c>
      <c r="E87" s="0" t="s">
        <v>47</v>
      </c>
      <c r="F87" s="1" t="s">
        <v>15</v>
      </c>
      <c r="G87" s="0" t="s">
        <v>64</v>
      </c>
      <c r="H87" s="0" t="n">
        <v>9</v>
      </c>
      <c r="I87" s="0" t="s">
        <v>17</v>
      </c>
      <c r="J87" s="0" t="s">
        <v>18</v>
      </c>
    </row>
    <row r="88" customFormat="false" ht="12.5" hidden="false" customHeight="false" outlineLevel="0" collapsed="false">
      <c r="A88" s="1" t="s">
        <v>44</v>
      </c>
      <c r="B88" s="0" t="s">
        <v>54</v>
      </c>
      <c r="C88" s="0" t="s">
        <v>57</v>
      </c>
      <c r="D88" s="0" t="s">
        <v>13</v>
      </c>
      <c r="E88" s="0" t="s">
        <v>47</v>
      </c>
      <c r="F88" s="1" t="s">
        <v>31</v>
      </c>
      <c r="G88" s="0" t="s">
        <v>65</v>
      </c>
      <c r="H88" s="0" t="n">
        <v>9</v>
      </c>
      <c r="I88" s="0" t="s">
        <v>17</v>
      </c>
      <c r="J88" s="0" t="s">
        <v>18</v>
      </c>
    </row>
    <row r="89" customFormat="false" ht="12.5" hidden="false" customHeight="false" outlineLevel="0" collapsed="false">
      <c r="A89" s="1" t="s">
        <v>44</v>
      </c>
      <c r="B89" s="0" t="s">
        <v>51</v>
      </c>
      <c r="C89" s="0" t="s">
        <v>53</v>
      </c>
      <c r="D89" s="0" t="s">
        <v>13</v>
      </c>
      <c r="E89" s="0" t="s">
        <v>47</v>
      </c>
      <c r="F89" s="1" t="s">
        <v>31</v>
      </c>
      <c r="G89" s="0" t="s">
        <v>63</v>
      </c>
      <c r="H89" s="0" t="n">
        <v>9</v>
      </c>
      <c r="I89" s="0" t="s">
        <v>17</v>
      </c>
      <c r="J89" s="0" t="s">
        <v>18</v>
      </c>
    </row>
    <row r="90" customFormat="false" ht="12.5" hidden="false" customHeight="false" outlineLevel="0" collapsed="false">
      <c r="A90" s="1" t="s">
        <v>44</v>
      </c>
      <c r="B90" s="0" t="s">
        <v>46</v>
      </c>
      <c r="C90" s="0" t="s">
        <v>50</v>
      </c>
      <c r="D90" s="0" t="s">
        <v>13</v>
      </c>
      <c r="E90" s="0" t="s">
        <v>47</v>
      </c>
      <c r="F90" s="1" t="s">
        <v>21</v>
      </c>
      <c r="G90" s="0" t="s">
        <v>66</v>
      </c>
      <c r="H90" s="0" t="n">
        <v>9</v>
      </c>
      <c r="I90" s="0" t="s">
        <v>17</v>
      </c>
      <c r="J90" s="0" t="s">
        <v>18</v>
      </c>
    </row>
    <row r="91" customFormat="false" ht="12.5" hidden="false" customHeight="false" outlineLevel="0" collapsed="false">
      <c r="A91" s="1" t="s">
        <v>44</v>
      </c>
      <c r="B91" s="0" t="s">
        <v>45</v>
      </c>
      <c r="C91" s="0" t="s">
        <v>60</v>
      </c>
      <c r="D91" s="0" t="s">
        <v>13</v>
      </c>
      <c r="E91" s="0" t="s">
        <v>47</v>
      </c>
      <c r="F91" s="1" t="s">
        <v>48</v>
      </c>
      <c r="G91" s="0" t="s">
        <v>49</v>
      </c>
      <c r="H91" s="0" t="n">
        <v>9</v>
      </c>
      <c r="I91" s="0" t="s">
        <v>17</v>
      </c>
      <c r="J91" s="0" t="s">
        <v>18</v>
      </c>
    </row>
    <row r="92" customFormat="false" ht="12.5" hidden="false" customHeight="false" outlineLevel="0" collapsed="false">
      <c r="A92" s="1" t="s">
        <v>10</v>
      </c>
      <c r="B92" s="0" t="s">
        <v>67</v>
      </c>
      <c r="C92" s="0" t="s">
        <v>68</v>
      </c>
      <c r="D92" s="0" t="s">
        <v>13</v>
      </c>
      <c r="E92" s="0" t="s">
        <v>69</v>
      </c>
      <c r="F92" s="1" t="s">
        <v>21</v>
      </c>
      <c r="G92" s="0" t="s">
        <v>70</v>
      </c>
      <c r="H92" s="0" t="n">
        <v>1</v>
      </c>
      <c r="I92" s="0" t="s">
        <v>71</v>
      </c>
      <c r="J92" s="0" t="s">
        <v>18</v>
      </c>
    </row>
    <row r="93" customFormat="false" ht="12.5" hidden="false" customHeight="false" outlineLevel="0" collapsed="false">
      <c r="A93" s="1" t="s">
        <v>10</v>
      </c>
      <c r="B93" s="0" t="s">
        <v>72</v>
      </c>
      <c r="C93" s="0" t="s">
        <v>73</v>
      </c>
      <c r="D93" s="0" t="s">
        <v>13</v>
      </c>
      <c r="E93" s="0" t="s">
        <v>69</v>
      </c>
      <c r="F93" s="1" t="s">
        <v>74</v>
      </c>
      <c r="G93" s="0" t="s">
        <v>75</v>
      </c>
      <c r="H93" s="0" t="n">
        <v>1</v>
      </c>
      <c r="I93" s="0" t="s">
        <v>71</v>
      </c>
      <c r="J93" s="0" t="s">
        <v>18</v>
      </c>
    </row>
    <row r="94" customFormat="false" ht="12.5" hidden="false" customHeight="false" outlineLevel="0" collapsed="false">
      <c r="A94" s="1" t="s">
        <v>10</v>
      </c>
      <c r="B94" s="0" t="s">
        <v>76</v>
      </c>
      <c r="C94" s="0" t="s">
        <v>77</v>
      </c>
      <c r="D94" s="0" t="s">
        <v>13</v>
      </c>
      <c r="E94" s="0" t="s">
        <v>69</v>
      </c>
      <c r="F94" s="1" t="s">
        <v>21</v>
      </c>
      <c r="G94" s="0" t="s">
        <v>78</v>
      </c>
      <c r="H94" s="0" t="n">
        <v>1</v>
      </c>
      <c r="I94" s="0" t="s">
        <v>71</v>
      </c>
      <c r="J94" s="0" t="s">
        <v>18</v>
      </c>
    </row>
    <row r="95" customFormat="false" ht="12.5" hidden="false" customHeight="false" outlineLevel="0" collapsed="false">
      <c r="A95" s="1" t="s">
        <v>10</v>
      </c>
      <c r="B95" s="0" t="s">
        <v>79</v>
      </c>
      <c r="C95" s="0" t="s">
        <v>80</v>
      </c>
      <c r="D95" s="0" t="s">
        <v>13</v>
      </c>
      <c r="E95" s="0" t="s">
        <v>69</v>
      </c>
      <c r="F95" s="1" t="s">
        <v>25</v>
      </c>
      <c r="G95" s="0" t="s">
        <v>81</v>
      </c>
      <c r="H95" s="0" t="n">
        <v>1</v>
      </c>
      <c r="I95" s="0" t="s">
        <v>71</v>
      </c>
      <c r="J95" s="0" t="s">
        <v>18</v>
      </c>
    </row>
    <row r="96" customFormat="false" ht="12.5" hidden="false" customHeight="false" outlineLevel="0" collapsed="false">
      <c r="A96" s="1" t="s">
        <v>10</v>
      </c>
      <c r="B96" s="0" t="s">
        <v>82</v>
      </c>
      <c r="C96" s="0" t="s">
        <v>83</v>
      </c>
      <c r="D96" s="0" t="s">
        <v>13</v>
      </c>
      <c r="E96" s="0" t="s">
        <v>69</v>
      </c>
      <c r="F96" s="1" t="s">
        <v>31</v>
      </c>
      <c r="G96" s="0" t="s">
        <v>84</v>
      </c>
      <c r="H96" s="0" t="n">
        <v>1</v>
      </c>
      <c r="I96" s="0" t="s">
        <v>71</v>
      </c>
      <c r="J96" s="0" t="s">
        <v>18</v>
      </c>
    </row>
    <row r="97" customFormat="false" ht="12.5" hidden="false" customHeight="false" outlineLevel="0" collapsed="false">
      <c r="A97" s="1" t="s">
        <v>32</v>
      </c>
      <c r="B97" s="0" t="s">
        <v>83</v>
      </c>
      <c r="C97" s="0" t="s">
        <v>79</v>
      </c>
      <c r="D97" s="0" t="s">
        <v>13</v>
      </c>
      <c r="E97" s="0" t="s">
        <v>69</v>
      </c>
      <c r="F97" s="1" t="s">
        <v>15</v>
      </c>
      <c r="G97" s="0" t="s">
        <v>85</v>
      </c>
      <c r="H97" s="0" t="n">
        <v>2</v>
      </c>
      <c r="I97" s="0" t="s">
        <v>71</v>
      </c>
      <c r="J97" s="0" t="s">
        <v>18</v>
      </c>
    </row>
    <row r="98" customFormat="false" ht="12.5" hidden="false" customHeight="false" outlineLevel="0" collapsed="false">
      <c r="A98" s="1" t="s">
        <v>32</v>
      </c>
      <c r="B98" s="0" t="s">
        <v>80</v>
      </c>
      <c r="C98" s="0" t="s">
        <v>76</v>
      </c>
      <c r="D98" s="0" t="s">
        <v>13</v>
      </c>
      <c r="E98" s="0" t="s">
        <v>69</v>
      </c>
      <c r="F98" s="1" t="s">
        <v>21</v>
      </c>
      <c r="G98" s="0" t="s">
        <v>86</v>
      </c>
      <c r="H98" s="0" t="n">
        <v>2</v>
      </c>
      <c r="I98" s="0" t="s">
        <v>71</v>
      </c>
      <c r="J98" s="0" t="s">
        <v>18</v>
      </c>
    </row>
    <row r="99" customFormat="false" ht="12.5" hidden="false" customHeight="false" outlineLevel="0" collapsed="false">
      <c r="A99" s="1" t="s">
        <v>32</v>
      </c>
      <c r="B99" s="0" t="s">
        <v>77</v>
      </c>
      <c r="C99" s="0" t="s">
        <v>72</v>
      </c>
      <c r="D99" s="0" t="s">
        <v>13</v>
      </c>
      <c r="E99" s="0" t="s">
        <v>69</v>
      </c>
      <c r="F99" s="1" t="s">
        <v>15</v>
      </c>
      <c r="G99" s="0" t="s">
        <v>87</v>
      </c>
      <c r="H99" s="0" t="n">
        <v>2</v>
      </c>
      <c r="I99" s="0" t="s">
        <v>71</v>
      </c>
      <c r="J99" s="0" t="s">
        <v>18</v>
      </c>
    </row>
    <row r="100" customFormat="false" ht="12.5" hidden="false" customHeight="false" outlineLevel="0" collapsed="false">
      <c r="A100" s="1" t="s">
        <v>32</v>
      </c>
      <c r="B100" s="0" t="s">
        <v>73</v>
      </c>
      <c r="C100" s="0" t="s">
        <v>67</v>
      </c>
      <c r="D100" s="0" t="s">
        <v>13</v>
      </c>
      <c r="E100" s="0" t="s">
        <v>69</v>
      </c>
      <c r="F100" s="1" t="s">
        <v>15</v>
      </c>
      <c r="G100" s="0" t="s">
        <v>88</v>
      </c>
      <c r="H100" s="0" t="n">
        <v>2</v>
      </c>
      <c r="I100" s="0" t="s">
        <v>71</v>
      </c>
      <c r="J100" s="0" t="s">
        <v>18</v>
      </c>
    </row>
    <row r="101" customFormat="false" ht="12.5" hidden="false" customHeight="false" outlineLevel="0" collapsed="false">
      <c r="A101" s="1" t="s">
        <v>32</v>
      </c>
      <c r="B101" s="0" t="s">
        <v>68</v>
      </c>
      <c r="C101" s="0" t="s">
        <v>82</v>
      </c>
      <c r="D101" s="0" t="s">
        <v>13</v>
      </c>
      <c r="E101" s="0" t="s">
        <v>69</v>
      </c>
      <c r="F101" s="1" t="s">
        <v>89</v>
      </c>
      <c r="G101" s="0" t="s">
        <v>87</v>
      </c>
      <c r="H101" s="0" t="n">
        <v>2</v>
      </c>
      <c r="I101" s="0" t="s">
        <v>71</v>
      </c>
      <c r="J101" s="0" t="s">
        <v>18</v>
      </c>
    </row>
    <row r="102" customFormat="false" ht="12.5" hidden="false" customHeight="false" outlineLevel="0" collapsed="false">
      <c r="A102" s="1" t="s">
        <v>38</v>
      </c>
      <c r="B102" s="0" t="s">
        <v>68</v>
      </c>
      <c r="C102" s="0" t="s">
        <v>73</v>
      </c>
      <c r="D102" s="0" t="s">
        <v>13</v>
      </c>
      <c r="E102" s="0" t="s">
        <v>69</v>
      </c>
      <c r="F102" s="1" t="s">
        <v>89</v>
      </c>
      <c r="G102" s="0" t="s">
        <v>87</v>
      </c>
      <c r="H102" s="0" t="n">
        <v>3</v>
      </c>
      <c r="I102" s="0" t="s">
        <v>71</v>
      </c>
      <c r="J102" s="0" t="s">
        <v>18</v>
      </c>
    </row>
    <row r="103" customFormat="false" ht="12.5" hidden="false" customHeight="false" outlineLevel="0" collapsed="false">
      <c r="A103" s="1" t="s">
        <v>38</v>
      </c>
      <c r="B103" s="0" t="s">
        <v>67</v>
      </c>
      <c r="C103" s="0" t="s">
        <v>77</v>
      </c>
      <c r="D103" s="0" t="s">
        <v>13</v>
      </c>
      <c r="E103" s="0" t="s">
        <v>69</v>
      </c>
      <c r="F103" s="1" t="s">
        <v>21</v>
      </c>
      <c r="G103" s="0" t="s">
        <v>70</v>
      </c>
      <c r="H103" s="0" t="n">
        <v>3</v>
      </c>
      <c r="I103" s="0" t="s">
        <v>71</v>
      </c>
      <c r="J103" s="0" t="s">
        <v>18</v>
      </c>
    </row>
    <row r="104" customFormat="false" ht="12.5" hidden="false" customHeight="false" outlineLevel="0" collapsed="false">
      <c r="A104" s="1" t="s">
        <v>38</v>
      </c>
      <c r="B104" s="0" t="s">
        <v>72</v>
      </c>
      <c r="C104" s="0" t="s">
        <v>80</v>
      </c>
      <c r="D104" s="0" t="s">
        <v>13</v>
      </c>
      <c r="E104" s="0" t="s">
        <v>69</v>
      </c>
      <c r="F104" s="1" t="s">
        <v>74</v>
      </c>
      <c r="G104" s="0" t="s">
        <v>75</v>
      </c>
      <c r="H104" s="0" t="n">
        <v>3</v>
      </c>
      <c r="I104" s="0" t="s">
        <v>71</v>
      </c>
      <c r="J104" s="0" t="s">
        <v>18</v>
      </c>
    </row>
    <row r="105" customFormat="false" ht="12.5" hidden="false" customHeight="false" outlineLevel="0" collapsed="false">
      <c r="A105" s="1" t="s">
        <v>38</v>
      </c>
      <c r="B105" s="0" t="s">
        <v>76</v>
      </c>
      <c r="C105" s="0" t="s">
        <v>83</v>
      </c>
      <c r="D105" s="0" t="s">
        <v>13</v>
      </c>
      <c r="E105" s="0" t="s">
        <v>69</v>
      </c>
      <c r="F105" s="1" t="s">
        <v>21</v>
      </c>
      <c r="G105" s="0" t="s">
        <v>78</v>
      </c>
      <c r="H105" s="0" t="n">
        <v>3</v>
      </c>
      <c r="I105" s="0" t="s">
        <v>71</v>
      </c>
      <c r="J105" s="0" t="s">
        <v>18</v>
      </c>
    </row>
    <row r="106" customFormat="false" ht="12.5" hidden="false" customHeight="false" outlineLevel="0" collapsed="false">
      <c r="A106" s="1" t="s">
        <v>38</v>
      </c>
      <c r="B106" s="0" t="s">
        <v>82</v>
      </c>
      <c r="C106" s="0" t="s">
        <v>79</v>
      </c>
      <c r="D106" s="0" t="s">
        <v>13</v>
      </c>
      <c r="E106" s="0" t="s">
        <v>69</v>
      </c>
      <c r="F106" s="1" t="s">
        <v>31</v>
      </c>
      <c r="G106" s="0" t="s">
        <v>84</v>
      </c>
      <c r="H106" s="0" t="n">
        <v>3</v>
      </c>
      <c r="I106" s="0" t="s">
        <v>71</v>
      </c>
      <c r="J106" s="0" t="s">
        <v>18</v>
      </c>
    </row>
    <row r="107" customFormat="false" ht="12.5" hidden="false" customHeight="false" outlineLevel="0" collapsed="false">
      <c r="A107" s="1" t="s">
        <v>39</v>
      </c>
      <c r="B107" s="0" t="s">
        <v>79</v>
      </c>
      <c r="C107" s="0" t="s">
        <v>76</v>
      </c>
      <c r="D107" s="0" t="s">
        <v>13</v>
      </c>
      <c r="E107" s="0" t="s">
        <v>69</v>
      </c>
      <c r="F107" s="1" t="s">
        <v>25</v>
      </c>
      <c r="G107" s="0" t="s">
        <v>81</v>
      </c>
      <c r="H107" s="0" t="n">
        <v>4</v>
      </c>
      <c r="I107" s="0" t="s">
        <v>71</v>
      </c>
      <c r="J107" s="0" t="s">
        <v>18</v>
      </c>
    </row>
    <row r="108" customFormat="false" ht="12.5" hidden="false" customHeight="false" outlineLevel="0" collapsed="false">
      <c r="A108" s="1" t="s">
        <v>39</v>
      </c>
      <c r="B108" s="0" t="s">
        <v>80</v>
      </c>
      <c r="C108" s="0" t="s">
        <v>67</v>
      </c>
      <c r="D108" s="0" t="s">
        <v>13</v>
      </c>
      <c r="E108" s="0" t="s">
        <v>69</v>
      </c>
      <c r="F108" s="1" t="s">
        <v>21</v>
      </c>
      <c r="G108" s="0" t="s">
        <v>86</v>
      </c>
      <c r="H108" s="0" t="n">
        <v>4</v>
      </c>
      <c r="I108" s="0" t="s">
        <v>71</v>
      </c>
      <c r="J108" s="0" t="s">
        <v>18</v>
      </c>
    </row>
    <row r="109" customFormat="false" ht="12.5" hidden="false" customHeight="false" outlineLevel="0" collapsed="false">
      <c r="A109" s="1" t="s">
        <v>39</v>
      </c>
      <c r="B109" s="0" t="s">
        <v>77</v>
      </c>
      <c r="C109" s="0" t="s">
        <v>68</v>
      </c>
      <c r="D109" s="0" t="s">
        <v>13</v>
      </c>
      <c r="E109" s="0" t="s">
        <v>69</v>
      </c>
      <c r="F109" s="1" t="s">
        <v>15</v>
      </c>
      <c r="G109" s="0" t="s">
        <v>87</v>
      </c>
      <c r="H109" s="0" t="n">
        <v>4</v>
      </c>
      <c r="I109" s="0" t="s">
        <v>71</v>
      </c>
      <c r="J109" s="0" t="s">
        <v>18</v>
      </c>
    </row>
    <row r="110" customFormat="false" ht="12.5" hidden="false" customHeight="false" outlineLevel="0" collapsed="false">
      <c r="A110" s="1" t="s">
        <v>39</v>
      </c>
      <c r="B110" s="0" t="s">
        <v>73</v>
      </c>
      <c r="C110" s="0" t="s">
        <v>82</v>
      </c>
      <c r="D110" s="0" t="s">
        <v>13</v>
      </c>
      <c r="E110" s="0" t="s">
        <v>69</v>
      </c>
      <c r="F110" s="1" t="s">
        <v>15</v>
      </c>
      <c r="G110" s="0" t="s">
        <v>88</v>
      </c>
      <c r="H110" s="0" t="n">
        <v>4</v>
      </c>
      <c r="I110" s="0" t="s">
        <v>71</v>
      </c>
      <c r="J110" s="0" t="s">
        <v>18</v>
      </c>
    </row>
    <row r="111" customFormat="false" ht="12.5" hidden="false" customHeight="false" outlineLevel="0" collapsed="false">
      <c r="A111" s="1" t="s">
        <v>90</v>
      </c>
      <c r="B111" s="0" t="s">
        <v>83</v>
      </c>
      <c r="C111" s="0" t="s">
        <v>72</v>
      </c>
      <c r="D111" s="0" t="s">
        <v>13</v>
      </c>
      <c r="E111" s="0" t="s">
        <v>69</v>
      </c>
      <c r="F111" s="1" t="s">
        <v>15</v>
      </c>
      <c r="G111" s="0" t="s">
        <v>85</v>
      </c>
      <c r="H111" s="0" t="n">
        <v>4</v>
      </c>
      <c r="I111" s="0" t="s">
        <v>71</v>
      </c>
      <c r="J111" s="0" t="s">
        <v>18</v>
      </c>
    </row>
    <row r="112" customFormat="false" ht="12.5" hidden="false" customHeight="false" outlineLevel="0" collapsed="false">
      <c r="A112" s="1" t="s">
        <v>40</v>
      </c>
      <c r="B112" s="0" t="s">
        <v>73</v>
      </c>
      <c r="C112" s="0" t="s">
        <v>77</v>
      </c>
      <c r="D112" s="0" t="s">
        <v>13</v>
      </c>
      <c r="E112" s="0" t="s">
        <v>69</v>
      </c>
      <c r="F112" s="1" t="s">
        <v>15</v>
      </c>
      <c r="G112" s="0" t="s">
        <v>88</v>
      </c>
      <c r="H112" s="0" t="n">
        <v>5</v>
      </c>
      <c r="I112" s="0" t="s">
        <v>71</v>
      </c>
      <c r="J112" s="0" t="s">
        <v>18</v>
      </c>
    </row>
    <row r="113" customFormat="false" ht="12.5" hidden="false" customHeight="false" outlineLevel="0" collapsed="false">
      <c r="A113" s="1" t="s">
        <v>40</v>
      </c>
      <c r="B113" s="0" t="s">
        <v>68</v>
      </c>
      <c r="C113" s="0" t="s">
        <v>80</v>
      </c>
      <c r="D113" s="0" t="s">
        <v>13</v>
      </c>
      <c r="E113" s="0" t="s">
        <v>69</v>
      </c>
      <c r="F113" s="1" t="s">
        <v>89</v>
      </c>
      <c r="G113" s="0" t="s">
        <v>87</v>
      </c>
      <c r="H113" s="0" t="n">
        <v>5</v>
      </c>
      <c r="I113" s="0" t="s">
        <v>71</v>
      </c>
      <c r="J113" s="0" t="s">
        <v>18</v>
      </c>
    </row>
    <row r="114" customFormat="false" ht="12.5" hidden="false" customHeight="false" outlineLevel="0" collapsed="false">
      <c r="A114" s="1" t="s">
        <v>40</v>
      </c>
      <c r="B114" s="0" t="s">
        <v>67</v>
      </c>
      <c r="C114" s="0" t="s">
        <v>83</v>
      </c>
      <c r="D114" s="0" t="s">
        <v>13</v>
      </c>
      <c r="E114" s="0" t="s">
        <v>69</v>
      </c>
      <c r="F114" s="1" t="s">
        <v>21</v>
      </c>
      <c r="G114" s="0" t="s">
        <v>70</v>
      </c>
      <c r="H114" s="0" t="n">
        <v>5</v>
      </c>
      <c r="I114" s="0" t="s">
        <v>71</v>
      </c>
      <c r="J114" s="0" t="s">
        <v>18</v>
      </c>
    </row>
    <row r="115" customFormat="false" ht="12.5" hidden="false" customHeight="false" outlineLevel="0" collapsed="false">
      <c r="A115" s="1" t="s">
        <v>40</v>
      </c>
      <c r="B115" s="0" t="s">
        <v>72</v>
      </c>
      <c r="C115" s="0" t="s">
        <v>79</v>
      </c>
      <c r="D115" s="0" t="s">
        <v>13</v>
      </c>
      <c r="E115" s="0" t="s">
        <v>69</v>
      </c>
      <c r="F115" s="1" t="s">
        <v>74</v>
      </c>
      <c r="G115" s="0" t="s">
        <v>75</v>
      </c>
      <c r="H115" s="0" t="n">
        <v>5</v>
      </c>
      <c r="I115" s="0" t="s">
        <v>71</v>
      </c>
      <c r="J115" s="0" t="s">
        <v>18</v>
      </c>
    </row>
    <row r="116" customFormat="false" ht="12.5" hidden="false" customHeight="false" outlineLevel="0" collapsed="false">
      <c r="A116" s="1" t="s">
        <v>40</v>
      </c>
      <c r="B116" s="0" t="s">
        <v>82</v>
      </c>
      <c r="C116" s="0" t="s">
        <v>76</v>
      </c>
      <c r="D116" s="0" t="s">
        <v>13</v>
      </c>
      <c r="E116" s="0" t="s">
        <v>69</v>
      </c>
      <c r="F116" s="1" t="s">
        <v>31</v>
      </c>
      <c r="G116" s="0" t="s">
        <v>84</v>
      </c>
      <c r="H116" s="0" t="n">
        <v>5</v>
      </c>
      <c r="I116" s="0" t="s">
        <v>71</v>
      </c>
      <c r="J116" s="0" t="s">
        <v>18</v>
      </c>
    </row>
    <row r="117" customFormat="false" ht="12.5" hidden="false" customHeight="false" outlineLevel="0" collapsed="false">
      <c r="A117" s="1" t="s">
        <v>41</v>
      </c>
      <c r="B117" s="0" t="s">
        <v>76</v>
      </c>
      <c r="C117" s="0" t="s">
        <v>72</v>
      </c>
      <c r="D117" s="0" t="s">
        <v>13</v>
      </c>
      <c r="E117" s="0" t="s">
        <v>69</v>
      </c>
      <c r="F117" s="1" t="s">
        <v>21</v>
      </c>
      <c r="G117" s="0" t="s">
        <v>78</v>
      </c>
      <c r="H117" s="0" t="n">
        <v>6</v>
      </c>
      <c r="I117" s="0" t="s">
        <v>71</v>
      </c>
      <c r="J117" s="0" t="s">
        <v>18</v>
      </c>
    </row>
    <row r="118" customFormat="false" ht="12.5" hidden="false" customHeight="false" outlineLevel="0" collapsed="false">
      <c r="A118" s="1" t="s">
        <v>41</v>
      </c>
      <c r="B118" s="0" t="s">
        <v>79</v>
      </c>
      <c r="C118" s="0" t="s">
        <v>67</v>
      </c>
      <c r="D118" s="0" t="s">
        <v>13</v>
      </c>
      <c r="E118" s="0" t="s">
        <v>69</v>
      </c>
      <c r="F118" s="1" t="s">
        <v>25</v>
      </c>
      <c r="G118" s="0" t="s">
        <v>81</v>
      </c>
      <c r="H118" s="0" t="n">
        <v>6</v>
      </c>
      <c r="I118" s="0" t="s">
        <v>71</v>
      </c>
      <c r="J118" s="0" t="s">
        <v>18</v>
      </c>
    </row>
    <row r="119" customFormat="false" ht="12.5" hidden="false" customHeight="false" outlineLevel="0" collapsed="false">
      <c r="A119" s="1" t="s">
        <v>41</v>
      </c>
      <c r="B119" s="0" t="s">
        <v>80</v>
      </c>
      <c r="C119" s="0" t="s">
        <v>73</v>
      </c>
      <c r="D119" s="0" t="s">
        <v>13</v>
      </c>
      <c r="E119" s="0" t="s">
        <v>69</v>
      </c>
      <c r="F119" s="1" t="s">
        <v>21</v>
      </c>
      <c r="G119" s="0" t="s">
        <v>86</v>
      </c>
      <c r="H119" s="0" t="n">
        <v>6</v>
      </c>
      <c r="I119" s="0" t="s">
        <v>71</v>
      </c>
      <c r="J119" s="0" t="s">
        <v>18</v>
      </c>
    </row>
    <row r="120" customFormat="false" ht="12.5" hidden="false" customHeight="false" outlineLevel="0" collapsed="false">
      <c r="A120" s="1" t="s">
        <v>41</v>
      </c>
      <c r="B120" s="0" t="s">
        <v>77</v>
      </c>
      <c r="C120" s="0" t="s">
        <v>82</v>
      </c>
      <c r="D120" s="0" t="s">
        <v>13</v>
      </c>
      <c r="E120" s="0" t="s">
        <v>69</v>
      </c>
      <c r="F120" s="1" t="s">
        <v>15</v>
      </c>
      <c r="G120" s="0" t="s">
        <v>87</v>
      </c>
      <c r="H120" s="0" t="n">
        <v>6</v>
      </c>
      <c r="I120" s="0" t="s">
        <v>71</v>
      </c>
      <c r="J120" s="0" t="s">
        <v>18</v>
      </c>
    </row>
    <row r="121" customFormat="false" ht="12.5" hidden="false" customHeight="false" outlineLevel="0" collapsed="false">
      <c r="A121" s="1" t="s">
        <v>91</v>
      </c>
      <c r="B121" s="0" t="s">
        <v>83</v>
      </c>
      <c r="C121" s="0" t="s">
        <v>68</v>
      </c>
      <c r="D121" s="0" t="s">
        <v>13</v>
      </c>
      <c r="E121" s="0" t="s">
        <v>69</v>
      </c>
      <c r="F121" s="1" t="s">
        <v>15</v>
      </c>
      <c r="G121" s="0" t="s">
        <v>85</v>
      </c>
      <c r="H121" s="0" t="n">
        <v>6</v>
      </c>
      <c r="I121" s="0" t="s">
        <v>71</v>
      </c>
      <c r="J121" s="0" t="s">
        <v>18</v>
      </c>
    </row>
    <row r="122" customFormat="false" ht="12.5" hidden="false" customHeight="false" outlineLevel="0" collapsed="false">
      <c r="A122" s="1" t="s">
        <v>42</v>
      </c>
      <c r="B122" s="0" t="s">
        <v>77</v>
      </c>
      <c r="C122" s="0" t="s">
        <v>80</v>
      </c>
      <c r="D122" s="0" t="s">
        <v>13</v>
      </c>
      <c r="E122" s="0" t="s">
        <v>69</v>
      </c>
      <c r="F122" s="1" t="s">
        <v>15</v>
      </c>
      <c r="G122" s="0" t="s">
        <v>87</v>
      </c>
      <c r="H122" s="0" t="n">
        <v>7</v>
      </c>
      <c r="I122" s="0" t="s">
        <v>71</v>
      </c>
      <c r="J122" s="0" t="s">
        <v>18</v>
      </c>
    </row>
    <row r="123" customFormat="false" ht="12.5" hidden="false" customHeight="false" outlineLevel="0" collapsed="false">
      <c r="A123" s="1" t="s">
        <v>42</v>
      </c>
      <c r="B123" s="0" t="s">
        <v>73</v>
      </c>
      <c r="C123" s="0" t="s">
        <v>83</v>
      </c>
      <c r="D123" s="0" t="s">
        <v>13</v>
      </c>
      <c r="E123" s="0" t="s">
        <v>69</v>
      </c>
      <c r="F123" s="1" t="s">
        <v>15</v>
      </c>
      <c r="G123" s="0" t="s">
        <v>88</v>
      </c>
      <c r="H123" s="0" t="n">
        <v>7</v>
      </c>
      <c r="I123" s="0" t="s">
        <v>71</v>
      </c>
      <c r="J123" s="0" t="s">
        <v>18</v>
      </c>
    </row>
    <row r="124" customFormat="false" ht="12.5" hidden="false" customHeight="false" outlineLevel="0" collapsed="false">
      <c r="A124" s="1" t="s">
        <v>42</v>
      </c>
      <c r="B124" s="0" t="s">
        <v>68</v>
      </c>
      <c r="C124" s="0" t="s">
        <v>79</v>
      </c>
      <c r="D124" s="0" t="s">
        <v>13</v>
      </c>
      <c r="E124" s="0" t="s">
        <v>69</v>
      </c>
      <c r="F124" s="1" t="s">
        <v>89</v>
      </c>
      <c r="G124" s="0" t="s">
        <v>87</v>
      </c>
      <c r="H124" s="0" t="n">
        <v>7</v>
      </c>
      <c r="I124" s="0" t="s">
        <v>71</v>
      </c>
      <c r="J124" s="0" t="s">
        <v>18</v>
      </c>
    </row>
    <row r="125" customFormat="false" ht="12.5" hidden="false" customHeight="false" outlineLevel="0" collapsed="false">
      <c r="A125" s="1" t="s">
        <v>42</v>
      </c>
      <c r="B125" s="0" t="s">
        <v>67</v>
      </c>
      <c r="C125" s="0" t="s">
        <v>76</v>
      </c>
      <c r="D125" s="0" t="s">
        <v>13</v>
      </c>
      <c r="E125" s="0" t="s">
        <v>69</v>
      </c>
      <c r="F125" s="1" t="s">
        <v>21</v>
      </c>
      <c r="G125" s="0" t="s">
        <v>70</v>
      </c>
      <c r="H125" s="0" t="n">
        <v>7</v>
      </c>
      <c r="I125" s="0" t="s">
        <v>71</v>
      </c>
      <c r="J125" s="0" t="s">
        <v>18</v>
      </c>
    </row>
    <row r="126" customFormat="false" ht="12.5" hidden="false" customHeight="false" outlineLevel="0" collapsed="false">
      <c r="A126" s="1" t="s">
        <v>42</v>
      </c>
      <c r="B126" s="0" t="s">
        <v>82</v>
      </c>
      <c r="C126" s="0" t="s">
        <v>72</v>
      </c>
      <c r="D126" s="0" t="s">
        <v>13</v>
      </c>
      <c r="E126" s="0" t="s">
        <v>69</v>
      </c>
      <c r="F126" s="1" t="s">
        <v>31</v>
      </c>
      <c r="G126" s="0" t="s">
        <v>84</v>
      </c>
      <c r="H126" s="0" t="n">
        <v>7</v>
      </c>
      <c r="I126" s="0" t="s">
        <v>71</v>
      </c>
      <c r="J126" s="0" t="s">
        <v>18</v>
      </c>
    </row>
    <row r="127" customFormat="false" ht="12.5" hidden="false" customHeight="false" outlineLevel="0" collapsed="false">
      <c r="A127" s="1" t="s">
        <v>43</v>
      </c>
      <c r="B127" s="0" t="s">
        <v>72</v>
      </c>
      <c r="C127" s="0" t="s">
        <v>67</v>
      </c>
      <c r="D127" s="0" t="s">
        <v>13</v>
      </c>
      <c r="E127" s="0" t="s">
        <v>69</v>
      </c>
      <c r="F127" s="1" t="s">
        <v>74</v>
      </c>
      <c r="G127" s="0" t="s">
        <v>75</v>
      </c>
      <c r="H127" s="0" t="n">
        <v>8</v>
      </c>
      <c r="I127" s="0" t="s">
        <v>71</v>
      </c>
      <c r="J127" s="0" t="s">
        <v>18</v>
      </c>
    </row>
    <row r="128" customFormat="false" ht="12.5" hidden="false" customHeight="false" outlineLevel="0" collapsed="false">
      <c r="A128" s="1" t="s">
        <v>43</v>
      </c>
      <c r="B128" s="0" t="s">
        <v>76</v>
      </c>
      <c r="C128" s="0" t="s">
        <v>68</v>
      </c>
      <c r="D128" s="0" t="s">
        <v>13</v>
      </c>
      <c r="E128" s="0" t="s">
        <v>69</v>
      </c>
      <c r="F128" s="1" t="s">
        <v>21</v>
      </c>
      <c r="G128" s="0" t="s">
        <v>78</v>
      </c>
      <c r="H128" s="0" t="n">
        <v>8</v>
      </c>
      <c r="I128" s="0" t="s">
        <v>71</v>
      </c>
      <c r="J128" s="0" t="s">
        <v>18</v>
      </c>
    </row>
    <row r="129" customFormat="false" ht="12.5" hidden="false" customHeight="false" outlineLevel="0" collapsed="false">
      <c r="A129" s="1" t="s">
        <v>43</v>
      </c>
      <c r="B129" s="0" t="s">
        <v>79</v>
      </c>
      <c r="C129" s="0" t="s">
        <v>73</v>
      </c>
      <c r="D129" s="0" t="s">
        <v>13</v>
      </c>
      <c r="E129" s="0" t="s">
        <v>69</v>
      </c>
      <c r="F129" s="1" t="s">
        <v>25</v>
      </c>
      <c r="G129" s="0" t="s">
        <v>81</v>
      </c>
      <c r="H129" s="0" t="n">
        <v>8</v>
      </c>
      <c r="I129" s="0" t="s">
        <v>71</v>
      </c>
      <c r="J129" s="0" t="s">
        <v>18</v>
      </c>
    </row>
    <row r="130" customFormat="false" ht="12.5" hidden="false" customHeight="false" outlineLevel="0" collapsed="false">
      <c r="A130" s="1" t="s">
        <v>43</v>
      </c>
      <c r="B130" s="0" t="s">
        <v>80</v>
      </c>
      <c r="C130" s="0" t="s">
        <v>82</v>
      </c>
      <c r="D130" s="0" t="s">
        <v>13</v>
      </c>
      <c r="E130" s="0" t="s">
        <v>69</v>
      </c>
      <c r="F130" s="1" t="s">
        <v>21</v>
      </c>
      <c r="G130" s="0" t="s">
        <v>86</v>
      </c>
      <c r="H130" s="0" t="n">
        <v>8</v>
      </c>
      <c r="I130" s="0" t="s">
        <v>71</v>
      </c>
      <c r="J130" s="0" t="s">
        <v>18</v>
      </c>
    </row>
    <row r="131" customFormat="false" ht="12.5" hidden="false" customHeight="false" outlineLevel="0" collapsed="false">
      <c r="A131" s="1" t="s">
        <v>92</v>
      </c>
      <c r="B131" s="0" t="s">
        <v>83</v>
      </c>
      <c r="C131" s="0" t="s">
        <v>77</v>
      </c>
      <c r="D131" s="0" t="s">
        <v>13</v>
      </c>
      <c r="E131" s="0" t="s">
        <v>69</v>
      </c>
      <c r="F131" s="1" t="s">
        <v>15</v>
      </c>
      <c r="G131" s="0" t="s">
        <v>85</v>
      </c>
      <c r="H131" s="0" t="n">
        <v>8</v>
      </c>
      <c r="I131" s="0" t="s">
        <v>71</v>
      </c>
      <c r="J131" s="0" t="s">
        <v>18</v>
      </c>
    </row>
    <row r="132" customFormat="false" ht="12.5" hidden="false" customHeight="false" outlineLevel="0" collapsed="false">
      <c r="A132" s="1" t="s">
        <v>44</v>
      </c>
      <c r="B132" s="0" t="s">
        <v>80</v>
      </c>
      <c r="C132" s="0" t="s">
        <v>83</v>
      </c>
      <c r="D132" s="0" t="s">
        <v>13</v>
      </c>
      <c r="E132" s="0" t="s">
        <v>69</v>
      </c>
      <c r="F132" s="1" t="s">
        <v>21</v>
      </c>
      <c r="G132" s="0" t="s">
        <v>86</v>
      </c>
      <c r="H132" s="0" t="n">
        <v>9</v>
      </c>
      <c r="I132" s="0" t="s">
        <v>71</v>
      </c>
      <c r="J132" s="0" t="s">
        <v>18</v>
      </c>
    </row>
    <row r="133" customFormat="false" ht="12.5" hidden="false" customHeight="false" outlineLevel="0" collapsed="false">
      <c r="A133" s="1" t="s">
        <v>44</v>
      </c>
      <c r="B133" s="0" t="s">
        <v>77</v>
      </c>
      <c r="C133" s="0" t="s">
        <v>79</v>
      </c>
      <c r="D133" s="0" t="s">
        <v>13</v>
      </c>
      <c r="E133" s="0" t="s">
        <v>69</v>
      </c>
      <c r="F133" s="1" t="s">
        <v>15</v>
      </c>
      <c r="G133" s="0" t="s">
        <v>87</v>
      </c>
      <c r="H133" s="0" t="n">
        <v>9</v>
      </c>
      <c r="I133" s="0" t="s">
        <v>71</v>
      </c>
      <c r="J133" s="0" t="s">
        <v>18</v>
      </c>
    </row>
    <row r="134" customFormat="false" ht="12.5" hidden="false" customHeight="false" outlineLevel="0" collapsed="false">
      <c r="A134" s="1" t="s">
        <v>44</v>
      </c>
      <c r="B134" s="0" t="s">
        <v>73</v>
      </c>
      <c r="C134" s="0" t="s">
        <v>76</v>
      </c>
      <c r="D134" s="0" t="s">
        <v>13</v>
      </c>
      <c r="E134" s="0" t="s">
        <v>69</v>
      </c>
      <c r="F134" s="1" t="s">
        <v>15</v>
      </c>
      <c r="G134" s="0" t="s">
        <v>88</v>
      </c>
      <c r="H134" s="0" t="n">
        <v>9</v>
      </c>
      <c r="I134" s="0" t="s">
        <v>71</v>
      </c>
      <c r="J134" s="0" t="s">
        <v>18</v>
      </c>
    </row>
    <row r="135" customFormat="false" ht="12.5" hidden="false" customHeight="false" outlineLevel="0" collapsed="false">
      <c r="A135" s="1" t="s">
        <v>44</v>
      </c>
      <c r="B135" s="0" t="s">
        <v>68</v>
      </c>
      <c r="C135" s="0" t="s">
        <v>72</v>
      </c>
      <c r="D135" s="0" t="s">
        <v>13</v>
      </c>
      <c r="E135" s="0" t="s">
        <v>69</v>
      </c>
      <c r="F135" s="1" t="s">
        <v>89</v>
      </c>
      <c r="G135" s="0" t="s">
        <v>87</v>
      </c>
      <c r="H135" s="0" t="n">
        <v>9</v>
      </c>
      <c r="I135" s="0" t="s">
        <v>71</v>
      </c>
      <c r="J135" s="0" t="s">
        <v>18</v>
      </c>
    </row>
    <row r="136" customFormat="false" ht="12.5" hidden="false" customHeight="false" outlineLevel="0" collapsed="false">
      <c r="A136" s="1" t="s">
        <v>44</v>
      </c>
      <c r="B136" s="0" t="s">
        <v>67</v>
      </c>
      <c r="C136" s="0" t="s">
        <v>82</v>
      </c>
      <c r="D136" s="0" t="s">
        <v>13</v>
      </c>
      <c r="E136" s="0" t="s">
        <v>69</v>
      </c>
      <c r="F136" s="1" t="s">
        <v>21</v>
      </c>
      <c r="G136" s="0" t="s">
        <v>70</v>
      </c>
      <c r="H136" s="0" t="n">
        <v>9</v>
      </c>
      <c r="I136" s="0" t="s">
        <v>71</v>
      </c>
      <c r="J136" s="0" t="s">
        <v>18</v>
      </c>
    </row>
    <row r="137" customFormat="false" ht="12.5" hidden="false" customHeight="false" outlineLevel="0" collapsed="false">
      <c r="A137" s="1" t="s">
        <v>10</v>
      </c>
      <c r="B137" s="0" t="s">
        <v>93</v>
      </c>
      <c r="C137" s="0" t="s">
        <v>94</v>
      </c>
      <c r="D137" s="0" t="s">
        <v>13</v>
      </c>
      <c r="E137" s="0" t="s">
        <v>95</v>
      </c>
      <c r="F137" s="1" t="s">
        <v>15</v>
      </c>
      <c r="G137" s="0" t="s">
        <v>84</v>
      </c>
      <c r="H137" s="0" t="n">
        <v>1</v>
      </c>
      <c r="I137" s="0" t="s">
        <v>71</v>
      </c>
      <c r="J137" s="0" t="s">
        <v>18</v>
      </c>
    </row>
    <row r="138" customFormat="false" ht="12.5" hidden="false" customHeight="false" outlineLevel="0" collapsed="false">
      <c r="A138" s="1" t="s">
        <v>10</v>
      </c>
      <c r="B138" s="0" t="s">
        <v>96</v>
      </c>
      <c r="C138" s="0" t="s">
        <v>97</v>
      </c>
      <c r="D138" s="0" t="s">
        <v>13</v>
      </c>
      <c r="E138" s="0" t="s">
        <v>95</v>
      </c>
      <c r="F138" s="1" t="s">
        <v>25</v>
      </c>
      <c r="G138" s="0" t="s">
        <v>85</v>
      </c>
      <c r="H138" s="0" t="n">
        <v>1</v>
      </c>
      <c r="I138" s="0" t="s">
        <v>71</v>
      </c>
      <c r="J138" s="0" t="s">
        <v>18</v>
      </c>
    </row>
    <row r="139" customFormat="false" ht="12.5" hidden="false" customHeight="false" outlineLevel="0" collapsed="false">
      <c r="A139" s="1" t="s">
        <v>10</v>
      </c>
      <c r="B139" s="0" t="s">
        <v>98</v>
      </c>
      <c r="C139" s="0" t="s">
        <v>99</v>
      </c>
      <c r="D139" s="0" t="s">
        <v>13</v>
      </c>
      <c r="E139" s="0" t="s">
        <v>95</v>
      </c>
      <c r="F139" s="1" t="s">
        <v>15</v>
      </c>
      <c r="G139" s="0" t="s">
        <v>100</v>
      </c>
      <c r="H139" s="0" t="n">
        <v>1</v>
      </c>
      <c r="I139" s="0" t="s">
        <v>71</v>
      </c>
      <c r="J139" s="0" t="s">
        <v>18</v>
      </c>
    </row>
    <row r="140" customFormat="false" ht="12.5" hidden="false" customHeight="false" outlineLevel="0" collapsed="false">
      <c r="A140" s="1" t="s">
        <v>10</v>
      </c>
      <c r="B140" s="0" t="s">
        <v>101</v>
      </c>
      <c r="C140" s="0" t="s">
        <v>102</v>
      </c>
      <c r="D140" s="0" t="s">
        <v>13</v>
      </c>
      <c r="E140" s="0" t="s">
        <v>95</v>
      </c>
      <c r="F140" s="1" t="s">
        <v>15</v>
      </c>
      <c r="G140" s="0" t="s">
        <v>103</v>
      </c>
      <c r="H140" s="0" t="n">
        <v>1</v>
      </c>
      <c r="I140" s="0" t="s">
        <v>71</v>
      </c>
      <c r="J140" s="0" t="s">
        <v>18</v>
      </c>
    </row>
    <row r="141" customFormat="false" ht="12.5" hidden="false" customHeight="false" outlineLevel="0" collapsed="false">
      <c r="A141" s="1" t="s">
        <v>10</v>
      </c>
      <c r="B141" s="0" t="s">
        <v>104</v>
      </c>
      <c r="C141" s="0" t="s">
        <v>105</v>
      </c>
      <c r="D141" s="0" t="s">
        <v>13</v>
      </c>
      <c r="E141" s="0" t="s">
        <v>95</v>
      </c>
      <c r="F141" s="1" t="s">
        <v>15</v>
      </c>
      <c r="G141" s="0" t="s">
        <v>106</v>
      </c>
      <c r="H141" s="0" t="n">
        <v>1</v>
      </c>
      <c r="I141" s="0" t="s">
        <v>71</v>
      </c>
      <c r="J141" s="0" t="s">
        <v>18</v>
      </c>
    </row>
    <row r="142" customFormat="false" ht="12.5" hidden="false" customHeight="false" outlineLevel="0" collapsed="false">
      <c r="A142" s="1" t="s">
        <v>32</v>
      </c>
      <c r="B142" s="0" t="s">
        <v>105</v>
      </c>
      <c r="C142" s="0" t="s">
        <v>101</v>
      </c>
      <c r="D142" s="0" t="s">
        <v>13</v>
      </c>
      <c r="E142" s="0" t="s">
        <v>95</v>
      </c>
      <c r="F142" s="1" t="s">
        <v>21</v>
      </c>
      <c r="G142" s="0" t="s">
        <v>107</v>
      </c>
      <c r="H142" s="0" t="n">
        <v>2</v>
      </c>
      <c r="I142" s="0" t="s">
        <v>71</v>
      </c>
      <c r="J142" s="0" t="s">
        <v>18</v>
      </c>
    </row>
    <row r="143" customFormat="false" ht="12.5" hidden="false" customHeight="false" outlineLevel="0" collapsed="false">
      <c r="A143" s="1" t="s">
        <v>32</v>
      </c>
      <c r="B143" s="0" t="s">
        <v>102</v>
      </c>
      <c r="C143" s="0" t="s">
        <v>98</v>
      </c>
      <c r="D143" s="0" t="s">
        <v>13</v>
      </c>
      <c r="E143" s="0" t="s">
        <v>95</v>
      </c>
      <c r="F143" s="1" t="s">
        <v>21</v>
      </c>
      <c r="G143" s="0" t="s">
        <v>108</v>
      </c>
      <c r="H143" s="0" t="n">
        <v>2</v>
      </c>
      <c r="I143" s="0" t="s">
        <v>71</v>
      </c>
      <c r="J143" s="0" t="s">
        <v>18</v>
      </c>
    </row>
    <row r="144" customFormat="false" ht="12.5" hidden="false" customHeight="false" outlineLevel="0" collapsed="false">
      <c r="A144" s="1" t="s">
        <v>32</v>
      </c>
      <c r="B144" s="0" t="s">
        <v>99</v>
      </c>
      <c r="C144" s="0" t="s">
        <v>96</v>
      </c>
      <c r="D144" s="0" t="s">
        <v>13</v>
      </c>
      <c r="E144" s="0" t="s">
        <v>95</v>
      </c>
      <c r="F144" s="1" t="s">
        <v>25</v>
      </c>
      <c r="G144" s="0" t="s">
        <v>108</v>
      </c>
      <c r="H144" s="0" t="n">
        <v>2</v>
      </c>
      <c r="I144" s="0" t="s">
        <v>71</v>
      </c>
      <c r="J144" s="0" t="s">
        <v>18</v>
      </c>
    </row>
    <row r="145" customFormat="false" ht="12.5" hidden="false" customHeight="false" outlineLevel="0" collapsed="false">
      <c r="A145" s="1" t="s">
        <v>32</v>
      </c>
      <c r="B145" s="0" t="s">
        <v>97</v>
      </c>
      <c r="C145" s="0" t="s">
        <v>93</v>
      </c>
      <c r="D145" s="0" t="s">
        <v>13</v>
      </c>
      <c r="E145" s="0" t="s">
        <v>95</v>
      </c>
      <c r="F145" s="1" t="s">
        <v>15</v>
      </c>
      <c r="G145" s="0" t="s">
        <v>109</v>
      </c>
      <c r="H145" s="0" t="n">
        <v>2</v>
      </c>
      <c r="I145" s="0" t="s">
        <v>71</v>
      </c>
      <c r="J145" s="0" t="s">
        <v>18</v>
      </c>
    </row>
    <row r="146" customFormat="false" ht="12.5" hidden="false" customHeight="false" outlineLevel="0" collapsed="false">
      <c r="A146" s="1" t="s">
        <v>32</v>
      </c>
      <c r="B146" s="0" t="s">
        <v>94</v>
      </c>
      <c r="C146" s="0" t="s">
        <v>104</v>
      </c>
      <c r="D146" s="0" t="s">
        <v>13</v>
      </c>
      <c r="E146" s="0" t="s">
        <v>95</v>
      </c>
      <c r="F146" s="1" t="s">
        <v>15</v>
      </c>
      <c r="G146" s="0" t="s">
        <v>110</v>
      </c>
      <c r="H146" s="0" t="n">
        <v>2</v>
      </c>
      <c r="I146" s="0" t="s">
        <v>71</v>
      </c>
      <c r="J146" s="0" t="s">
        <v>18</v>
      </c>
    </row>
    <row r="147" customFormat="false" ht="12.5" hidden="false" customHeight="false" outlineLevel="0" collapsed="false">
      <c r="A147" s="1" t="s">
        <v>38</v>
      </c>
      <c r="B147" s="0" t="s">
        <v>94</v>
      </c>
      <c r="C147" s="0" t="s">
        <v>97</v>
      </c>
      <c r="D147" s="0" t="s">
        <v>13</v>
      </c>
      <c r="E147" s="0" t="s">
        <v>95</v>
      </c>
      <c r="F147" s="1" t="s">
        <v>15</v>
      </c>
      <c r="G147" s="0" t="s">
        <v>110</v>
      </c>
      <c r="H147" s="0" t="n">
        <v>3</v>
      </c>
      <c r="I147" s="0" t="s">
        <v>71</v>
      </c>
      <c r="J147" s="0" t="s">
        <v>18</v>
      </c>
    </row>
    <row r="148" customFormat="false" ht="12.5" hidden="false" customHeight="false" outlineLevel="0" collapsed="false">
      <c r="A148" s="1" t="s">
        <v>38</v>
      </c>
      <c r="B148" s="0" t="s">
        <v>93</v>
      </c>
      <c r="C148" s="0" t="s">
        <v>99</v>
      </c>
      <c r="D148" s="0" t="s">
        <v>13</v>
      </c>
      <c r="E148" s="0" t="s">
        <v>95</v>
      </c>
      <c r="F148" s="1" t="s">
        <v>15</v>
      </c>
      <c r="G148" s="0" t="s">
        <v>84</v>
      </c>
      <c r="H148" s="0" t="n">
        <v>3</v>
      </c>
      <c r="I148" s="0" t="s">
        <v>71</v>
      </c>
      <c r="J148" s="0" t="s">
        <v>18</v>
      </c>
    </row>
    <row r="149" customFormat="false" ht="12.5" hidden="false" customHeight="false" outlineLevel="0" collapsed="false">
      <c r="A149" s="1" t="s">
        <v>38</v>
      </c>
      <c r="B149" s="0" t="s">
        <v>96</v>
      </c>
      <c r="C149" s="0" t="s">
        <v>102</v>
      </c>
      <c r="D149" s="0" t="s">
        <v>13</v>
      </c>
      <c r="E149" s="0" t="s">
        <v>95</v>
      </c>
      <c r="F149" s="1" t="s">
        <v>25</v>
      </c>
      <c r="G149" s="0" t="s">
        <v>85</v>
      </c>
      <c r="H149" s="0" t="n">
        <v>3</v>
      </c>
      <c r="I149" s="0" t="s">
        <v>71</v>
      </c>
      <c r="J149" s="0" t="s">
        <v>18</v>
      </c>
    </row>
    <row r="150" customFormat="false" ht="12.5" hidden="false" customHeight="false" outlineLevel="0" collapsed="false">
      <c r="A150" s="1" t="s">
        <v>38</v>
      </c>
      <c r="B150" s="0" t="s">
        <v>98</v>
      </c>
      <c r="C150" s="0" t="s">
        <v>105</v>
      </c>
      <c r="D150" s="0" t="s">
        <v>13</v>
      </c>
      <c r="E150" s="0" t="s">
        <v>95</v>
      </c>
      <c r="F150" s="1" t="s">
        <v>15</v>
      </c>
      <c r="G150" s="0" t="s">
        <v>100</v>
      </c>
      <c r="H150" s="0" t="n">
        <v>3</v>
      </c>
      <c r="I150" s="0" t="s">
        <v>71</v>
      </c>
      <c r="J150" s="0" t="s">
        <v>18</v>
      </c>
    </row>
    <row r="151" customFormat="false" ht="12.5" hidden="false" customHeight="false" outlineLevel="0" collapsed="false">
      <c r="A151" s="1" t="s">
        <v>38</v>
      </c>
      <c r="B151" s="0" t="s">
        <v>104</v>
      </c>
      <c r="C151" s="0" t="s">
        <v>101</v>
      </c>
      <c r="D151" s="0" t="s">
        <v>13</v>
      </c>
      <c r="E151" s="0" t="s">
        <v>95</v>
      </c>
      <c r="F151" s="1" t="s">
        <v>15</v>
      </c>
      <c r="G151" s="0" t="s">
        <v>106</v>
      </c>
      <c r="H151" s="0" t="n">
        <v>3</v>
      </c>
      <c r="I151" s="0" t="s">
        <v>71</v>
      </c>
      <c r="J151" s="0" t="s">
        <v>18</v>
      </c>
    </row>
    <row r="152" customFormat="false" ht="12.5" hidden="false" customHeight="false" outlineLevel="0" collapsed="false">
      <c r="A152" s="1" t="s">
        <v>39</v>
      </c>
      <c r="B152" s="0" t="s">
        <v>101</v>
      </c>
      <c r="C152" s="0" t="s">
        <v>98</v>
      </c>
      <c r="D152" s="0" t="s">
        <v>13</v>
      </c>
      <c r="E152" s="0" t="s">
        <v>95</v>
      </c>
      <c r="F152" s="1" t="s">
        <v>15</v>
      </c>
      <c r="G152" s="0" t="s">
        <v>103</v>
      </c>
      <c r="H152" s="0" t="n">
        <v>4</v>
      </c>
      <c r="I152" s="0" t="s">
        <v>71</v>
      </c>
      <c r="J152" s="0" t="s">
        <v>18</v>
      </c>
    </row>
    <row r="153" customFormat="false" ht="12.5" hidden="false" customHeight="false" outlineLevel="0" collapsed="false">
      <c r="A153" s="1" t="s">
        <v>39</v>
      </c>
      <c r="B153" s="0" t="s">
        <v>105</v>
      </c>
      <c r="C153" s="0" t="s">
        <v>96</v>
      </c>
      <c r="D153" s="0" t="s">
        <v>13</v>
      </c>
      <c r="E153" s="0" t="s">
        <v>95</v>
      </c>
      <c r="F153" s="1" t="s">
        <v>21</v>
      </c>
      <c r="G153" s="0" t="s">
        <v>107</v>
      </c>
      <c r="H153" s="0" t="n">
        <v>4</v>
      </c>
      <c r="I153" s="0" t="s">
        <v>71</v>
      </c>
      <c r="J153" s="0" t="s">
        <v>18</v>
      </c>
    </row>
    <row r="154" customFormat="false" ht="12.5" hidden="false" customHeight="false" outlineLevel="0" collapsed="false">
      <c r="A154" s="1" t="s">
        <v>39</v>
      </c>
      <c r="B154" s="0" t="s">
        <v>102</v>
      </c>
      <c r="C154" s="0" t="s">
        <v>93</v>
      </c>
      <c r="D154" s="0" t="s">
        <v>13</v>
      </c>
      <c r="E154" s="0" t="s">
        <v>95</v>
      </c>
      <c r="F154" s="1" t="s">
        <v>21</v>
      </c>
      <c r="G154" s="0" t="s">
        <v>108</v>
      </c>
      <c r="H154" s="0" t="n">
        <v>4</v>
      </c>
      <c r="I154" s="0" t="s">
        <v>71</v>
      </c>
      <c r="J154" s="0" t="s">
        <v>18</v>
      </c>
    </row>
    <row r="155" customFormat="false" ht="12.5" hidden="false" customHeight="false" outlineLevel="0" collapsed="false">
      <c r="A155" s="1" t="s">
        <v>39</v>
      </c>
      <c r="B155" s="0" t="s">
        <v>99</v>
      </c>
      <c r="C155" s="0" t="s">
        <v>94</v>
      </c>
      <c r="D155" s="0" t="s">
        <v>13</v>
      </c>
      <c r="E155" s="0" t="s">
        <v>95</v>
      </c>
      <c r="F155" s="1" t="s">
        <v>25</v>
      </c>
      <c r="G155" s="0" t="s">
        <v>108</v>
      </c>
      <c r="H155" s="0" t="n">
        <v>4</v>
      </c>
      <c r="I155" s="0" t="s">
        <v>71</v>
      </c>
      <c r="J155" s="0" t="s">
        <v>18</v>
      </c>
    </row>
    <row r="156" customFormat="false" ht="12.5" hidden="false" customHeight="false" outlineLevel="0" collapsed="false">
      <c r="A156" s="1" t="s">
        <v>39</v>
      </c>
      <c r="B156" s="0" t="s">
        <v>97</v>
      </c>
      <c r="C156" s="0" t="s">
        <v>104</v>
      </c>
      <c r="D156" s="0" t="s">
        <v>13</v>
      </c>
      <c r="E156" s="0" t="s">
        <v>95</v>
      </c>
      <c r="F156" s="1" t="s">
        <v>15</v>
      </c>
      <c r="G156" s="0" t="s">
        <v>109</v>
      </c>
      <c r="H156" s="0" t="n">
        <v>4</v>
      </c>
      <c r="I156" s="0" t="s">
        <v>71</v>
      </c>
      <c r="J156" s="0" t="s">
        <v>18</v>
      </c>
    </row>
    <row r="157" customFormat="false" ht="12.5" hidden="false" customHeight="false" outlineLevel="0" collapsed="false">
      <c r="A157" s="1" t="s">
        <v>40</v>
      </c>
      <c r="B157" s="0" t="s">
        <v>97</v>
      </c>
      <c r="C157" s="0" t="s">
        <v>99</v>
      </c>
      <c r="D157" s="0" t="s">
        <v>13</v>
      </c>
      <c r="E157" s="0" t="s">
        <v>95</v>
      </c>
      <c r="F157" s="1" t="s">
        <v>15</v>
      </c>
      <c r="G157" s="0" t="s">
        <v>109</v>
      </c>
      <c r="H157" s="0" t="n">
        <v>5</v>
      </c>
      <c r="I157" s="0" t="s">
        <v>71</v>
      </c>
      <c r="J157" s="0" t="s">
        <v>18</v>
      </c>
    </row>
    <row r="158" customFormat="false" ht="12.5" hidden="false" customHeight="false" outlineLevel="0" collapsed="false">
      <c r="A158" s="1" t="s">
        <v>40</v>
      </c>
      <c r="B158" s="0" t="s">
        <v>94</v>
      </c>
      <c r="C158" s="0" t="s">
        <v>102</v>
      </c>
      <c r="D158" s="0" t="s">
        <v>13</v>
      </c>
      <c r="E158" s="0" t="s">
        <v>95</v>
      </c>
      <c r="F158" s="1" t="s">
        <v>15</v>
      </c>
      <c r="G158" s="0" t="s">
        <v>110</v>
      </c>
      <c r="H158" s="0" t="n">
        <v>5</v>
      </c>
      <c r="I158" s="0" t="s">
        <v>71</v>
      </c>
      <c r="J158" s="0" t="s">
        <v>18</v>
      </c>
    </row>
    <row r="159" customFormat="false" ht="12.5" hidden="false" customHeight="false" outlineLevel="0" collapsed="false">
      <c r="A159" s="1" t="s">
        <v>40</v>
      </c>
      <c r="B159" s="0" t="s">
        <v>93</v>
      </c>
      <c r="C159" s="0" t="s">
        <v>105</v>
      </c>
      <c r="D159" s="0" t="s">
        <v>13</v>
      </c>
      <c r="E159" s="0" t="s">
        <v>95</v>
      </c>
      <c r="F159" s="1" t="s">
        <v>15</v>
      </c>
      <c r="G159" s="0" t="s">
        <v>84</v>
      </c>
      <c r="H159" s="0" t="n">
        <v>5</v>
      </c>
      <c r="I159" s="0" t="s">
        <v>71</v>
      </c>
      <c r="J159" s="0" t="s">
        <v>18</v>
      </c>
    </row>
    <row r="160" customFormat="false" ht="12.5" hidden="false" customHeight="false" outlineLevel="0" collapsed="false">
      <c r="A160" s="1" t="s">
        <v>40</v>
      </c>
      <c r="B160" s="0" t="s">
        <v>96</v>
      </c>
      <c r="C160" s="0" t="s">
        <v>101</v>
      </c>
      <c r="D160" s="0" t="s">
        <v>13</v>
      </c>
      <c r="E160" s="0" t="s">
        <v>95</v>
      </c>
      <c r="F160" s="1" t="s">
        <v>25</v>
      </c>
      <c r="G160" s="0" t="s">
        <v>85</v>
      </c>
      <c r="H160" s="0" t="n">
        <v>5</v>
      </c>
      <c r="I160" s="0" t="s">
        <v>71</v>
      </c>
      <c r="J160" s="0" t="s">
        <v>18</v>
      </c>
    </row>
    <row r="161" customFormat="false" ht="12.5" hidden="false" customHeight="false" outlineLevel="0" collapsed="false">
      <c r="A161" s="1" t="s">
        <v>40</v>
      </c>
      <c r="B161" s="0" t="s">
        <v>104</v>
      </c>
      <c r="C161" s="0" t="s">
        <v>98</v>
      </c>
      <c r="D161" s="0" t="s">
        <v>13</v>
      </c>
      <c r="E161" s="0" t="s">
        <v>95</v>
      </c>
      <c r="F161" s="1" t="s">
        <v>15</v>
      </c>
      <c r="G161" s="0" t="s">
        <v>106</v>
      </c>
      <c r="H161" s="0" t="n">
        <v>5</v>
      </c>
      <c r="I161" s="0" t="s">
        <v>71</v>
      </c>
      <c r="J161" s="0" t="s">
        <v>18</v>
      </c>
    </row>
    <row r="162" customFormat="false" ht="12.5" hidden="false" customHeight="false" outlineLevel="0" collapsed="false">
      <c r="A162" s="1" t="s">
        <v>41</v>
      </c>
      <c r="B162" s="0" t="s">
        <v>98</v>
      </c>
      <c r="C162" s="0" t="s">
        <v>96</v>
      </c>
      <c r="D162" s="0" t="s">
        <v>13</v>
      </c>
      <c r="E162" s="0" t="s">
        <v>95</v>
      </c>
      <c r="F162" s="1" t="s">
        <v>15</v>
      </c>
      <c r="G162" s="0" t="s">
        <v>100</v>
      </c>
      <c r="H162" s="0" t="n">
        <v>6</v>
      </c>
      <c r="I162" s="0" t="s">
        <v>71</v>
      </c>
      <c r="J162" s="0" t="s">
        <v>18</v>
      </c>
    </row>
    <row r="163" customFormat="false" ht="12.5" hidden="false" customHeight="false" outlineLevel="0" collapsed="false">
      <c r="A163" s="1" t="s">
        <v>41</v>
      </c>
      <c r="B163" s="0" t="s">
        <v>101</v>
      </c>
      <c r="C163" s="0" t="s">
        <v>93</v>
      </c>
      <c r="D163" s="0" t="s">
        <v>13</v>
      </c>
      <c r="E163" s="0" t="s">
        <v>95</v>
      </c>
      <c r="F163" s="1" t="s">
        <v>15</v>
      </c>
      <c r="G163" s="0" t="s">
        <v>103</v>
      </c>
      <c r="H163" s="0" t="n">
        <v>6</v>
      </c>
      <c r="I163" s="0" t="s">
        <v>71</v>
      </c>
      <c r="J163" s="0" t="s">
        <v>18</v>
      </c>
    </row>
    <row r="164" customFormat="false" ht="12.5" hidden="false" customHeight="false" outlineLevel="0" collapsed="false">
      <c r="A164" s="1" t="s">
        <v>41</v>
      </c>
      <c r="B164" s="0" t="s">
        <v>105</v>
      </c>
      <c r="C164" s="0" t="s">
        <v>94</v>
      </c>
      <c r="D164" s="0" t="s">
        <v>13</v>
      </c>
      <c r="E164" s="0" t="s">
        <v>95</v>
      </c>
      <c r="F164" s="1" t="s">
        <v>21</v>
      </c>
      <c r="G164" s="0" t="s">
        <v>107</v>
      </c>
      <c r="H164" s="0" t="n">
        <v>6</v>
      </c>
      <c r="I164" s="0" t="s">
        <v>71</v>
      </c>
      <c r="J164" s="0" t="s">
        <v>18</v>
      </c>
    </row>
    <row r="165" customFormat="false" ht="12.5" hidden="false" customHeight="false" outlineLevel="0" collapsed="false">
      <c r="A165" s="1" t="s">
        <v>41</v>
      </c>
      <c r="B165" s="0" t="s">
        <v>102</v>
      </c>
      <c r="C165" s="0" t="s">
        <v>97</v>
      </c>
      <c r="D165" s="0" t="s">
        <v>13</v>
      </c>
      <c r="E165" s="0" t="s">
        <v>95</v>
      </c>
      <c r="F165" s="1" t="s">
        <v>21</v>
      </c>
      <c r="G165" s="0" t="s">
        <v>108</v>
      </c>
      <c r="H165" s="0" t="n">
        <v>6</v>
      </c>
      <c r="I165" s="0" t="s">
        <v>71</v>
      </c>
      <c r="J165" s="0" t="s">
        <v>18</v>
      </c>
    </row>
    <row r="166" customFormat="false" ht="12.5" hidden="false" customHeight="false" outlineLevel="0" collapsed="false">
      <c r="A166" s="1" t="s">
        <v>41</v>
      </c>
      <c r="B166" s="0" t="s">
        <v>99</v>
      </c>
      <c r="C166" s="0" t="s">
        <v>104</v>
      </c>
      <c r="D166" s="0" t="s">
        <v>13</v>
      </c>
      <c r="E166" s="0" t="s">
        <v>95</v>
      </c>
      <c r="F166" s="1" t="s">
        <v>25</v>
      </c>
      <c r="G166" s="0" t="s">
        <v>108</v>
      </c>
      <c r="H166" s="0" t="n">
        <v>6</v>
      </c>
      <c r="I166" s="0" t="s">
        <v>71</v>
      </c>
      <c r="J166" s="0" t="s">
        <v>18</v>
      </c>
    </row>
    <row r="167" customFormat="false" ht="12.5" hidden="false" customHeight="false" outlineLevel="0" collapsed="false">
      <c r="A167" s="1" t="s">
        <v>42</v>
      </c>
      <c r="B167" s="0" t="s">
        <v>99</v>
      </c>
      <c r="C167" s="0" t="s">
        <v>102</v>
      </c>
      <c r="D167" s="0" t="s">
        <v>13</v>
      </c>
      <c r="E167" s="0" t="s">
        <v>95</v>
      </c>
      <c r="F167" s="1" t="s">
        <v>25</v>
      </c>
      <c r="G167" s="0" t="s">
        <v>108</v>
      </c>
      <c r="H167" s="0" t="n">
        <v>7</v>
      </c>
      <c r="I167" s="0" t="s">
        <v>71</v>
      </c>
      <c r="J167" s="0" t="s">
        <v>18</v>
      </c>
    </row>
    <row r="168" customFormat="false" ht="12.5" hidden="false" customHeight="false" outlineLevel="0" collapsed="false">
      <c r="A168" s="1" t="s">
        <v>42</v>
      </c>
      <c r="B168" s="0" t="s">
        <v>97</v>
      </c>
      <c r="C168" s="0" t="s">
        <v>105</v>
      </c>
      <c r="D168" s="0" t="s">
        <v>13</v>
      </c>
      <c r="E168" s="0" t="s">
        <v>95</v>
      </c>
      <c r="F168" s="1" t="s">
        <v>15</v>
      </c>
      <c r="G168" s="0" t="s">
        <v>109</v>
      </c>
      <c r="H168" s="0" t="n">
        <v>7</v>
      </c>
      <c r="I168" s="0" t="s">
        <v>71</v>
      </c>
      <c r="J168" s="0" t="s">
        <v>18</v>
      </c>
    </row>
    <row r="169" customFormat="false" ht="12.5" hidden="false" customHeight="false" outlineLevel="0" collapsed="false">
      <c r="A169" s="1" t="s">
        <v>42</v>
      </c>
      <c r="B169" s="0" t="s">
        <v>94</v>
      </c>
      <c r="C169" s="0" t="s">
        <v>101</v>
      </c>
      <c r="D169" s="0" t="s">
        <v>13</v>
      </c>
      <c r="E169" s="0" t="s">
        <v>95</v>
      </c>
      <c r="F169" s="1" t="s">
        <v>15</v>
      </c>
      <c r="G169" s="0" t="s">
        <v>110</v>
      </c>
      <c r="H169" s="0" t="n">
        <v>7</v>
      </c>
      <c r="I169" s="0" t="s">
        <v>71</v>
      </c>
      <c r="J169" s="0" t="s">
        <v>18</v>
      </c>
    </row>
    <row r="170" customFormat="false" ht="12.5" hidden="false" customHeight="false" outlineLevel="0" collapsed="false">
      <c r="A170" s="1" t="s">
        <v>42</v>
      </c>
      <c r="B170" s="0" t="s">
        <v>93</v>
      </c>
      <c r="C170" s="0" t="s">
        <v>98</v>
      </c>
      <c r="D170" s="0" t="s">
        <v>13</v>
      </c>
      <c r="E170" s="0" t="s">
        <v>95</v>
      </c>
      <c r="F170" s="1" t="s">
        <v>15</v>
      </c>
      <c r="G170" s="0" t="s">
        <v>84</v>
      </c>
      <c r="H170" s="0" t="n">
        <v>7</v>
      </c>
      <c r="I170" s="0" t="s">
        <v>71</v>
      </c>
      <c r="J170" s="0" t="s">
        <v>18</v>
      </c>
    </row>
    <row r="171" customFormat="false" ht="12.5" hidden="false" customHeight="false" outlineLevel="0" collapsed="false">
      <c r="A171" s="1" t="s">
        <v>42</v>
      </c>
      <c r="B171" s="0" t="s">
        <v>104</v>
      </c>
      <c r="C171" s="0" t="s">
        <v>96</v>
      </c>
      <c r="D171" s="0" t="s">
        <v>13</v>
      </c>
      <c r="E171" s="0" t="s">
        <v>95</v>
      </c>
      <c r="F171" s="1" t="s">
        <v>15</v>
      </c>
      <c r="G171" s="0" t="s">
        <v>106</v>
      </c>
      <c r="H171" s="0" t="n">
        <v>7</v>
      </c>
      <c r="I171" s="0" t="s">
        <v>71</v>
      </c>
      <c r="J171" s="0" t="s">
        <v>18</v>
      </c>
    </row>
    <row r="172" customFormat="false" ht="12.5" hidden="false" customHeight="false" outlineLevel="0" collapsed="false">
      <c r="A172" s="1" t="s">
        <v>43</v>
      </c>
      <c r="B172" s="0" t="s">
        <v>96</v>
      </c>
      <c r="C172" s="0" t="s">
        <v>93</v>
      </c>
      <c r="D172" s="0" t="s">
        <v>13</v>
      </c>
      <c r="E172" s="0" t="s">
        <v>95</v>
      </c>
      <c r="F172" s="1" t="s">
        <v>25</v>
      </c>
      <c r="G172" s="0" t="s">
        <v>85</v>
      </c>
      <c r="H172" s="0" t="n">
        <v>8</v>
      </c>
      <c r="I172" s="0" t="s">
        <v>71</v>
      </c>
      <c r="J172" s="0" t="s">
        <v>18</v>
      </c>
    </row>
    <row r="173" customFormat="false" ht="12.5" hidden="false" customHeight="false" outlineLevel="0" collapsed="false">
      <c r="A173" s="1" t="s">
        <v>43</v>
      </c>
      <c r="B173" s="0" t="s">
        <v>98</v>
      </c>
      <c r="C173" s="0" t="s">
        <v>94</v>
      </c>
      <c r="D173" s="0" t="s">
        <v>13</v>
      </c>
      <c r="E173" s="0" t="s">
        <v>95</v>
      </c>
      <c r="F173" s="1" t="s">
        <v>15</v>
      </c>
      <c r="G173" s="0" t="s">
        <v>100</v>
      </c>
      <c r="H173" s="0" t="n">
        <v>8</v>
      </c>
      <c r="I173" s="0" t="s">
        <v>71</v>
      </c>
      <c r="J173" s="0" t="s">
        <v>18</v>
      </c>
    </row>
    <row r="174" customFormat="false" ht="12.5" hidden="false" customHeight="false" outlineLevel="0" collapsed="false">
      <c r="A174" s="1" t="s">
        <v>43</v>
      </c>
      <c r="B174" s="0" t="s">
        <v>101</v>
      </c>
      <c r="C174" s="0" t="s">
        <v>97</v>
      </c>
      <c r="D174" s="0" t="s">
        <v>13</v>
      </c>
      <c r="E174" s="0" t="s">
        <v>95</v>
      </c>
      <c r="F174" s="1" t="s">
        <v>15</v>
      </c>
      <c r="G174" s="0" t="s">
        <v>103</v>
      </c>
      <c r="H174" s="0" t="n">
        <v>8</v>
      </c>
      <c r="I174" s="0" t="s">
        <v>71</v>
      </c>
      <c r="J174" s="0" t="s">
        <v>18</v>
      </c>
    </row>
    <row r="175" customFormat="false" ht="12.5" hidden="false" customHeight="false" outlineLevel="0" collapsed="false">
      <c r="A175" s="1" t="s">
        <v>43</v>
      </c>
      <c r="B175" s="0" t="s">
        <v>105</v>
      </c>
      <c r="C175" s="0" t="s">
        <v>99</v>
      </c>
      <c r="D175" s="0" t="s">
        <v>13</v>
      </c>
      <c r="E175" s="0" t="s">
        <v>95</v>
      </c>
      <c r="F175" s="1" t="s">
        <v>21</v>
      </c>
      <c r="G175" s="0" t="s">
        <v>107</v>
      </c>
      <c r="H175" s="0" t="n">
        <v>8</v>
      </c>
      <c r="I175" s="0" t="s">
        <v>71</v>
      </c>
      <c r="J175" s="0" t="s">
        <v>18</v>
      </c>
    </row>
    <row r="176" customFormat="false" ht="12.5" hidden="false" customHeight="false" outlineLevel="0" collapsed="false">
      <c r="A176" s="1" t="s">
        <v>43</v>
      </c>
      <c r="B176" s="0" t="s">
        <v>104</v>
      </c>
      <c r="C176" s="0" t="s">
        <v>102</v>
      </c>
      <c r="D176" s="0" t="s">
        <v>13</v>
      </c>
      <c r="E176" s="0" t="s">
        <v>95</v>
      </c>
      <c r="F176" s="1" t="s">
        <v>15</v>
      </c>
      <c r="G176" s="0" t="s">
        <v>106</v>
      </c>
      <c r="H176" s="0" t="n">
        <v>8</v>
      </c>
      <c r="I176" s="0" t="s">
        <v>71</v>
      </c>
      <c r="J176" s="0" t="s">
        <v>18</v>
      </c>
    </row>
    <row r="177" customFormat="false" ht="12.5" hidden="false" customHeight="false" outlineLevel="0" collapsed="false">
      <c r="A177" s="1" t="s">
        <v>44</v>
      </c>
      <c r="B177" s="0" t="s">
        <v>102</v>
      </c>
      <c r="C177" s="0" t="s">
        <v>105</v>
      </c>
      <c r="D177" s="0" t="s">
        <v>13</v>
      </c>
      <c r="E177" s="0" t="s">
        <v>95</v>
      </c>
      <c r="F177" s="1" t="s">
        <v>21</v>
      </c>
      <c r="G177" s="0" t="s">
        <v>108</v>
      </c>
      <c r="H177" s="0" t="n">
        <v>9</v>
      </c>
      <c r="I177" s="0" t="s">
        <v>71</v>
      </c>
      <c r="J177" s="0" t="s">
        <v>18</v>
      </c>
    </row>
    <row r="178" customFormat="false" ht="12.5" hidden="false" customHeight="false" outlineLevel="0" collapsed="false">
      <c r="A178" s="1" t="s">
        <v>44</v>
      </c>
      <c r="B178" s="0" t="s">
        <v>99</v>
      </c>
      <c r="C178" s="0" t="s">
        <v>101</v>
      </c>
      <c r="D178" s="0" t="s">
        <v>13</v>
      </c>
      <c r="E178" s="0" t="s">
        <v>95</v>
      </c>
      <c r="F178" s="1" t="s">
        <v>25</v>
      </c>
      <c r="G178" s="0" t="s">
        <v>108</v>
      </c>
      <c r="H178" s="0" t="n">
        <v>9</v>
      </c>
      <c r="I178" s="0" t="s">
        <v>71</v>
      </c>
      <c r="J178" s="0" t="s">
        <v>18</v>
      </c>
    </row>
    <row r="179" customFormat="false" ht="12.5" hidden="false" customHeight="false" outlineLevel="0" collapsed="false">
      <c r="A179" s="1" t="s">
        <v>44</v>
      </c>
      <c r="B179" s="0" t="s">
        <v>97</v>
      </c>
      <c r="C179" s="0" t="s">
        <v>98</v>
      </c>
      <c r="D179" s="0" t="s">
        <v>13</v>
      </c>
      <c r="E179" s="0" t="s">
        <v>95</v>
      </c>
      <c r="F179" s="1" t="s">
        <v>15</v>
      </c>
      <c r="G179" s="0" t="s">
        <v>109</v>
      </c>
      <c r="H179" s="0" t="n">
        <v>9</v>
      </c>
      <c r="I179" s="0" t="s">
        <v>71</v>
      </c>
      <c r="J179" s="0" t="s">
        <v>18</v>
      </c>
    </row>
    <row r="180" customFormat="false" ht="12.5" hidden="false" customHeight="false" outlineLevel="0" collapsed="false">
      <c r="A180" s="1" t="s">
        <v>44</v>
      </c>
      <c r="B180" s="0" t="s">
        <v>94</v>
      </c>
      <c r="C180" s="0" t="s">
        <v>96</v>
      </c>
      <c r="D180" s="0" t="s">
        <v>13</v>
      </c>
      <c r="E180" s="0" t="s">
        <v>95</v>
      </c>
      <c r="F180" s="1" t="s">
        <v>15</v>
      </c>
      <c r="G180" s="0" t="s">
        <v>110</v>
      </c>
      <c r="H180" s="0" t="n">
        <v>9</v>
      </c>
      <c r="I180" s="0" t="s">
        <v>71</v>
      </c>
      <c r="J180" s="0" t="s">
        <v>18</v>
      </c>
    </row>
    <row r="181" customFormat="false" ht="12.5" hidden="false" customHeight="false" outlineLevel="0" collapsed="false">
      <c r="A181" s="1" t="s">
        <v>44</v>
      </c>
      <c r="B181" s="0" t="s">
        <v>93</v>
      </c>
      <c r="C181" s="0" t="s">
        <v>104</v>
      </c>
      <c r="D181" s="0" t="s">
        <v>13</v>
      </c>
      <c r="E181" s="0" t="s">
        <v>95</v>
      </c>
      <c r="F181" s="1" t="s">
        <v>15</v>
      </c>
      <c r="G181" s="0" t="s">
        <v>84</v>
      </c>
      <c r="H181" s="0" t="n">
        <v>9</v>
      </c>
      <c r="I181" s="0" t="s">
        <v>71</v>
      </c>
      <c r="J18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11.9921875" defaultRowHeight="12.5" zeroHeight="false" outlineLevelRow="0" outlineLevelCol="0"/>
  <cols>
    <col collapsed="false" customWidth="true" hidden="false" outlineLevel="0" max="4" min="4" style="0" width="18.3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111</v>
      </c>
      <c r="C2" s="0" t="s">
        <v>101</v>
      </c>
      <c r="D2" s="0" t="s">
        <v>112</v>
      </c>
      <c r="E2" s="0" t="s">
        <v>47</v>
      </c>
      <c r="F2" s="1" t="s">
        <v>15</v>
      </c>
      <c r="G2" s="0" t="s">
        <v>113</v>
      </c>
      <c r="H2" s="0" t="n">
        <v>8</v>
      </c>
      <c r="I2" s="0" t="s">
        <v>71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114</v>
      </c>
      <c r="C3" s="0" t="s">
        <v>46</v>
      </c>
      <c r="D3" s="0" t="s">
        <v>112</v>
      </c>
      <c r="E3" s="0" t="s">
        <v>47</v>
      </c>
      <c r="F3" s="1" t="s">
        <v>31</v>
      </c>
      <c r="G3" s="0" t="s">
        <v>115</v>
      </c>
      <c r="H3" s="0" t="n">
        <v>8</v>
      </c>
      <c r="I3" s="0" t="s">
        <v>71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116</v>
      </c>
      <c r="C4" s="0" t="s">
        <v>117</v>
      </c>
      <c r="D4" s="0" t="s">
        <v>112</v>
      </c>
      <c r="E4" s="0" t="s">
        <v>47</v>
      </c>
      <c r="F4" s="1" t="s">
        <v>31</v>
      </c>
      <c r="G4" s="0" t="s">
        <v>118</v>
      </c>
      <c r="H4" s="0" t="n">
        <v>8</v>
      </c>
      <c r="I4" s="0" t="s">
        <v>71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119</v>
      </c>
      <c r="C5" s="0" t="s">
        <v>120</v>
      </c>
      <c r="D5" s="0" t="s">
        <v>112</v>
      </c>
      <c r="E5" s="0" t="s">
        <v>47</v>
      </c>
      <c r="F5" s="1" t="s">
        <v>15</v>
      </c>
      <c r="G5" s="0" t="s">
        <v>121</v>
      </c>
      <c r="H5" s="0" t="n">
        <v>8</v>
      </c>
      <c r="I5" s="0" t="s">
        <v>71</v>
      </c>
      <c r="J5" s="0" t="s">
        <v>18</v>
      </c>
    </row>
    <row r="6" customFormat="false" ht="12.5" hidden="false" customHeight="false" outlineLevel="0" collapsed="false">
      <c r="A6" s="1" t="s">
        <v>32</v>
      </c>
      <c r="B6" s="0" t="s">
        <v>120</v>
      </c>
      <c r="C6" s="0" t="s">
        <v>116</v>
      </c>
      <c r="D6" s="0" t="s">
        <v>112</v>
      </c>
      <c r="E6" s="0" t="s">
        <v>47</v>
      </c>
      <c r="F6" s="1" t="s">
        <v>89</v>
      </c>
      <c r="G6" s="0" t="s">
        <v>122</v>
      </c>
      <c r="H6" s="0" t="n">
        <v>9</v>
      </c>
      <c r="I6" s="0" t="s">
        <v>71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117</v>
      </c>
      <c r="C7" s="0" t="s">
        <v>114</v>
      </c>
      <c r="D7" s="0" t="s">
        <v>112</v>
      </c>
      <c r="E7" s="0" t="s">
        <v>47</v>
      </c>
      <c r="F7" s="1" t="s">
        <v>31</v>
      </c>
      <c r="G7" s="0" t="s">
        <v>123</v>
      </c>
      <c r="H7" s="0" t="n">
        <v>9</v>
      </c>
      <c r="I7" s="0" t="s">
        <v>71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46</v>
      </c>
      <c r="C8" s="0" t="s">
        <v>111</v>
      </c>
      <c r="D8" s="0" t="s">
        <v>112</v>
      </c>
      <c r="E8" s="0" t="s">
        <v>47</v>
      </c>
      <c r="F8" s="1" t="s">
        <v>25</v>
      </c>
      <c r="G8" s="0" t="s">
        <v>124</v>
      </c>
      <c r="H8" s="0" t="n">
        <v>9</v>
      </c>
      <c r="I8" s="0" t="s">
        <v>71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101</v>
      </c>
      <c r="C9" s="0" t="s">
        <v>119</v>
      </c>
      <c r="D9" s="0" t="s">
        <v>112</v>
      </c>
      <c r="E9" s="0" t="s">
        <v>47</v>
      </c>
      <c r="F9" s="1" t="s">
        <v>21</v>
      </c>
      <c r="G9" s="0" t="s">
        <v>103</v>
      </c>
      <c r="H9" s="0" t="n">
        <v>9</v>
      </c>
      <c r="I9" s="0" t="s">
        <v>71</v>
      </c>
      <c r="J9" s="0" t="s">
        <v>18</v>
      </c>
    </row>
    <row r="10" customFormat="false" ht="12.5" hidden="false" customHeight="false" outlineLevel="0" collapsed="false">
      <c r="A10" s="1" t="s">
        <v>38</v>
      </c>
      <c r="B10" s="0" t="s">
        <v>46</v>
      </c>
      <c r="C10" s="0" t="s">
        <v>101</v>
      </c>
      <c r="D10" s="0" t="s">
        <v>112</v>
      </c>
      <c r="E10" s="0" t="s">
        <v>47</v>
      </c>
      <c r="F10" s="1" t="s">
        <v>25</v>
      </c>
      <c r="G10" s="0" t="s">
        <v>124</v>
      </c>
      <c r="H10" s="0" t="n">
        <v>10</v>
      </c>
      <c r="I10" s="0" t="s">
        <v>71</v>
      </c>
      <c r="J10" s="0" t="s">
        <v>18</v>
      </c>
    </row>
    <row r="11" customFormat="false" ht="12.5" hidden="false" customHeight="false" outlineLevel="0" collapsed="false">
      <c r="A11" s="1" t="s">
        <v>38</v>
      </c>
      <c r="B11" s="0" t="s">
        <v>117</v>
      </c>
      <c r="C11" s="0" t="s">
        <v>111</v>
      </c>
      <c r="D11" s="0" t="s">
        <v>112</v>
      </c>
      <c r="E11" s="0" t="s">
        <v>47</v>
      </c>
      <c r="F11" s="1" t="s">
        <v>31</v>
      </c>
      <c r="G11" s="0" t="s">
        <v>123</v>
      </c>
      <c r="H11" s="0" t="n">
        <v>10</v>
      </c>
      <c r="I11" s="0" t="s">
        <v>71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120</v>
      </c>
      <c r="C12" s="0" t="s">
        <v>114</v>
      </c>
      <c r="D12" s="0" t="s">
        <v>112</v>
      </c>
      <c r="E12" s="0" t="s">
        <v>47</v>
      </c>
      <c r="F12" s="1" t="s">
        <v>89</v>
      </c>
      <c r="G12" s="0" t="s">
        <v>122</v>
      </c>
      <c r="H12" s="0" t="n">
        <v>10</v>
      </c>
      <c r="I12" s="0" t="s">
        <v>71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119</v>
      </c>
      <c r="C13" s="0" t="s">
        <v>116</v>
      </c>
      <c r="D13" s="0" t="s">
        <v>112</v>
      </c>
      <c r="E13" s="0" t="s">
        <v>47</v>
      </c>
      <c r="F13" s="1" t="s">
        <v>31</v>
      </c>
      <c r="G13" s="0" t="s">
        <v>121</v>
      </c>
      <c r="H13" s="0" t="n">
        <v>10</v>
      </c>
      <c r="I13" s="0" t="s">
        <v>71</v>
      </c>
      <c r="J13" s="0" t="s">
        <v>18</v>
      </c>
    </row>
    <row r="14" customFormat="false" ht="12.5" hidden="false" customHeight="false" outlineLevel="0" collapsed="false">
      <c r="A14" s="1" t="s">
        <v>39</v>
      </c>
      <c r="B14" s="0" t="s">
        <v>114</v>
      </c>
      <c r="C14" s="0" t="s">
        <v>116</v>
      </c>
      <c r="D14" s="0" t="s">
        <v>112</v>
      </c>
      <c r="E14" s="0" t="s">
        <v>47</v>
      </c>
      <c r="F14" s="1" t="s">
        <v>31</v>
      </c>
      <c r="G14" s="0" t="s">
        <v>115</v>
      </c>
      <c r="H14" s="0" t="n">
        <v>11</v>
      </c>
      <c r="I14" s="0" t="s">
        <v>71</v>
      </c>
      <c r="J14" s="0" t="s">
        <v>18</v>
      </c>
    </row>
    <row r="15" customFormat="false" ht="12.5" hidden="false" customHeight="false" outlineLevel="0" collapsed="false">
      <c r="A15" s="1" t="s">
        <v>39</v>
      </c>
      <c r="B15" s="0" t="s">
        <v>111</v>
      </c>
      <c r="C15" s="0" t="s">
        <v>120</v>
      </c>
      <c r="D15" s="0" t="s">
        <v>112</v>
      </c>
      <c r="E15" s="0" t="s">
        <v>47</v>
      </c>
      <c r="F15" s="1" t="s">
        <v>15</v>
      </c>
      <c r="G15" s="0" t="s">
        <v>113</v>
      </c>
      <c r="H15" s="0" t="n">
        <v>11</v>
      </c>
      <c r="I15" s="0" t="s">
        <v>71</v>
      </c>
      <c r="J15" s="0" t="s">
        <v>18</v>
      </c>
    </row>
    <row r="16" customFormat="false" ht="12.5" hidden="false" customHeight="false" outlineLevel="0" collapsed="false">
      <c r="A16" s="1" t="s">
        <v>39</v>
      </c>
      <c r="B16" s="0" t="s">
        <v>101</v>
      </c>
      <c r="C16" s="0" t="s">
        <v>117</v>
      </c>
      <c r="D16" s="0" t="s">
        <v>112</v>
      </c>
      <c r="E16" s="0" t="s">
        <v>47</v>
      </c>
      <c r="F16" s="1" t="s">
        <v>21</v>
      </c>
      <c r="G16" s="0" t="s">
        <v>103</v>
      </c>
      <c r="H16" s="0" t="n">
        <v>11</v>
      </c>
      <c r="I16" s="0" t="s">
        <v>71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46</v>
      </c>
      <c r="C17" s="0" t="s">
        <v>119</v>
      </c>
      <c r="D17" s="0" t="s">
        <v>112</v>
      </c>
      <c r="E17" s="0" t="s">
        <v>47</v>
      </c>
      <c r="F17" s="1" t="s">
        <v>25</v>
      </c>
      <c r="G17" s="0" t="s">
        <v>124</v>
      </c>
      <c r="H17" s="0" t="n">
        <v>11</v>
      </c>
      <c r="I17" s="0" t="s">
        <v>71</v>
      </c>
      <c r="J17" s="0" t="s">
        <v>18</v>
      </c>
    </row>
    <row r="18" customFormat="false" ht="12.5" hidden="false" customHeight="false" outlineLevel="0" collapsed="false">
      <c r="A18" s="1" t="s">
        <v>40</v>
      </c>
      <c r="B18" s="0" t="s">
        <v>117</v>
      </c>
      <c r="C18" s="0" t="s">
        <v>46</v>
      </c>
      <c r="D18" s="0" t="s">
        <v>112</v>
      </c>
      <c r="E18" s="0" t="s">
        <v>47</v>
      </c>
      <c r="F18" s="1" t="s">
        <v>31</v>
      </c>
      <c r="G18" s="0" t="s">
        <v>123</v>
      </c>
      <c r="H18" s="0" t="n">
        <v>12</v>
      </c>
      <c r="I18" s="0" t="s">
        <v>71</v>
      </c>
      <c r="J18" s="0" t="s">
        <v>18</v>
      </c>
    </row>
    <row r="19" customFormat="false" ht="12.5" hidden="false" customHeight="false" outlineLevel="0" collapsed="false">
      <c r="A19" s="1" t="s">
        <v>40</v>
      </c>
      <c r="B19" s="0" t="s">
        <v>120</v>
      </c>
      <c r="C19" s="0" t="s">
        <v>101</v>
      </c>
      <c r="D19" s="0" t="s">
        <v>112</v>
      </c>
      <c r="E19" s="0" t="s">
        <v>47</v>
      </c>
      <c r="F19" s="1" t="s">
        <v>89</v>
      </c>
      <c r="G19" s="0" t="s">
        <v>122</v>
      </c>
      <c r="H19" s="0" t="n">
        <v>12</v>
      </c>
      <c r="I19" s="0" t="s">
        <v>71</v>
      </c>
      <c r="J19" s="0" t="s">
        <v>18</v>
      </c>
    </row>
    <row r="20" customFormat="false" ht="12.5" hidden="false" customHeight="false" outlineLevel="0" collapsed="false">
      <c r="A20" s="1" t="s">
        <v>40</v>
      </c>
      <c r="B20" s="0" t="s">
        <v>116</v>
      </c>
      <c r="C20" s="0" t="s">
        <v>111</v>
      </c>
      <c r="D20" s="0" t="s">
        <v>112</v>
      </c>
      <c r="E20" s="0" t="s">
        <v>47</v>
      </c>
      <c r="F20" s="1" t="s">
        <v>31</v>
      </c>
      <c r="G20" s="0" t="s">
        <v>118</v>
      </c>
      <c r="H20" s="0" t="n">
        <v>12</v>
      </c>
      <c r="I20" s="0" t="s">
        <v>71</v>
      </c>
      <c r="J20" s="0" t="s">
        <v>18</v>
      </c>
    </row>
    <row r="21" customFormat="false" ht="12.5" hidden="false" customHeight="false" outlineLevel="0" collapsed="false">
      <c r="A21" s="1" t="s">
        <v>40</v>
      </c>
      <c r="B21" s="0" t="s">
        <v>119</v>
      </c>
      <c r="C21" s="0" t="s">
        <v>114</v>
      </c>
      <c r="D21" s="0" t="s">
        <v>112</v>
      </c>
      <c r="E21" s="0" t="s">
        <v>47</v>
      </c>
      <c r="F21" s="1" t="s">
        <v>15</v>
      </c>
      <c r="G21" s="0" t="s">
        <v>121</v>
      </c>
      <c r="H21" s="0" t="n">
        <v>12</v>
      </c>
      <c r="I21" s="0" t="s">
        <v>71</v>
      </c>
      <c r="J21" s="0" t="s">
        <v>18</v>
      </c>
    </row>
    <row r="22" customFormat="false" ht="12.5" hidden="false" customHeight="false" outlineLevel="0" collapsed="false">
      <c r="A22" s="1" t="s">
        <v>41</v>
      </c>
      <c r="B22" s="0" t="s">
        <v>111</v>
      </c>
      <c r="C22" s="0" t="s">
        <v>114</v>
      </c>
      <c r="D22" s="0" t="s">
        <v>112</v>
      </c>
      <c r="E22" s="0" t="s">
        <v>47</v>
      </c>
      <c r="F22" s="1" t="s">
        <v>15</v>
      </c>
      <c r="G22" s="0" t="s">
        <v>113</v>
      </c>
      <c r="H22" s="0" t="n">
        <v>13</v>
      </c>
      <c r="I22" s="0" t="s">
        <v>71</v>
      </c>
      <c r="J22" s="0" t="s">
        <v>18</v>
      </c>
    </row>
    <row r="23" customFormat="false" ht="12.5" hidden="false" customHeight="false" outlineLevel="0" collapsed="false">
      <c r="A23" s="1" t="s">
        <v>41</v>
      </c>
      <c r="B23" s="0" t="s">
        <v>101</v>
      </c>
      <c r="C23" s="0" t="s">
        <v>116</v>
      </c>
      <c r="D23" s="0" t="s">
        <v>112</v>
      </c>
      <c r="E23" s="0" t="s">
        <v>47</v>
      </c>
      <c r="F23" s="1" t="s">
        <v>21</v>
      </c>
      <c r="G23" s="0" t="s">
        <v>103</v>
      </c>
      <c r="H23" s="0" t="n">
        <v>13</v>
      </c>
      <c r="I23" s="0" t="s">
        <v>71</v>
      </c>
      <c r="J23" s="0" t="s">
        <v>18</v>
      </c>
    </row>
    <row r="24" customFormat="false" ht="12.5" hidden="false" customHeight="false" outlineLevel="0" collapsed="false">
      <c r="A24" s="1" t="s">
        <v>41</v>
      </c>
      <c r="B24" s="0" t="s">
        <v>46</v>
      </c>
      <c r="C24" s="0" t="s">
        <v>120</v>
      </c>
      <c r="D24" s="0" t="s">
        <v>112</v>
      </c>
      <c r="E24" s="0" t="s">
        <v>47</v>
      </c>
      <c r="F24" s="1" t="s">
        <v>25</v>
      </c>
      <c r="G24" s="0" t="s">
        <v>124</v>
      </c>
      <c r="H24" s="0" t="n">
        <v>13</v>
      </c>
      <c r="I24" s="0" t="s">
        <v>71</v>
      </c>
      <c r="J24" s="0" t="s">
        <v>18</v>
      </c>
    </row>
    <row r="25" customFormat="false" ht="12.5" hidden="false" customHeight="false" outlineLevel="0" collapsed="false">
      <c r="A25" s="1" t="s">
        <v>41</v>
      </c>
      <c r="B25" s="0" t="s">
        <v>117</v>
      </c>
      <c r="C25" s="0" t="s">
        <v>119</v>
      </c>
      <c r="D25" s="0" t="s">
        <v>112</v>
      </c>
      <c r="E25" s="0" t="s">
        <v>47</v>
      </c>
      <c r="F25" s="1" t="s">
        <v>31</v>
      </c>
      <c r="G25" s="0" t="s">
        <v>123</v>
      </c>
      <c r="H25" s="0" t="n">
        <v>13</v>
      </c>
      <c r="I25" s="0" t="s">
        <v>71</v>
      </c>
      <c r="J25" s="0" t="s">
        <v>18</v>
      </c>
    </row>
    <row r="26" customFormat="false" ht="12.5" hidden="false" customHeight="false" outlineLevel="0" collapsed="false">
      <c r="A26" s="1" t="s">
        <v>42</v>
      </c>
      <c r="B26" s="0" t="s">
        <v>120</v>
      </c>
      <c r="C26" s="0" t="s">
        <v>117</v>
      </c>
      <c r="D26" s="0" t="s">
        <v>112</v>
      </c>
      <c r="E26" s="0" t="s">
        <v>47</v>
      </c>
      <c r="F26" s="1" t="s">
        <v>89</v>
      </c>
      <c r="G26" s="0" t="s">
        <v>122</v>
      </c>
      <c r="H26" s="0" t="n">
        <v>14</v>
      </c>
      <c r="I26" s="0" t="s">
        <v>71</v>
      </c>
      <c r="J26" s="0" t="s">
        <v>18</v>
      </c>
    </row>
    <row r="27" customFormat="false" ht="12.5" hidden="false" customHeight="false" outlineLevel="0" collapsed="false">
      <c r="A27" s="1" t="s">
        <v>42</v>
      </c>
      <c r="B27" s="0" t="s">
        <v>116</v>
      </c>
      <c r="C27" s="0" t="s">
        <v>46</v>
      </c>
      <c r="D27" s="0" t="s">
        <v>112</v>
      </c>
      <c r="E27" s="0" t="s">
        <v>47</v>
      </c>
      <c r="F27" s="1" t="s">
        <v>31</v>
      </c>
      <c r="G27" s="0" t="s">
        <v>118</v>
      </c>
      <c r="H27" s="0" t="n">
        <v>14</v>
      </c>
      <c r="I27" s="0" t="s">
        <v>71</v>
      </c>
      <c r="J27" s="0" t="s">
        <v>18</v>
      </c>
    </row>
    <row r="28" customFormat="false" ht="12.5" hidden="false" customHeight="false" outlineLevel="0" collapsed="false">
      <c r="A28" s="1" t="s">
        <v>42</v>
      </c>
      <c r="B28" s="0" t="s">
        <v>114</v>
      </c>
      <c r="C28" s="0" t="s">
        <v>101</v>
      </c>
      <c r="D28" s="0" t="s">
        <v>112</v>
      </c>
      <c r="E28" s="0" t="s">
        <v>47</v>
      </c>
      <c r="F28" s="1" t="s">
        <v>31</v>
      </c>
      <c r="G28" s="0" t="s">
        <v>115</v>
      </c>
      <c r="H28" s="0" t="n">
        <v>14</v>
      </c>
      <c r="I28" s="0" t="s">
        <v>71</v>
      </c>
      <c r="J28" s="0" t="s">
        <v>18</v>
      </c>
    </row>
    <row r="29" customFormat="false" ht="12.5" hidden="false" customHeight="false" outlineLevel="0" collapsed="false">
      <c r="A29" s="1" t="s">
        <v>42</v>
      </c>
      <c r="B29" s="0" t="s">
        <v>119</v>
      </c>
      <c r="C29" s="0" t="s">
        <v>111</v>
      </c>
      <c r="D29" s="0" t="s">
        <v>112</v>
      </c>
      <c r="E29" s="0" t="s">
        <v>47</v>
      </c>
      <c r="F29" s="1" t="s">
        <v>15</v>
      </c>
      <c r="G29" s="0" t="s">
        <v>121</v>
      </c>
      <c r="H29" s="0" t="n">
        <v>14</v>
      </c>
      <c r="I29" s="0" t="s">
        <v>71</v>
      </c>
      <c r="J29" s="0" t="s">
        <v>18</v>
      </c>
    </row>
    <row r="30" customFormat="false" ht="12.8" hidden="false" customHeight="false" outlineLevel="0" collapsed="false"/>
    <row r="31" customFormat="false" ht="12.8" hidden="false" customHeight="false" outlineLevel="0" collapsed="false"/>
    <row r="32" customFormat="false" ht="12.8" hidden="false" customHeight="false" outlineLevel="0" collapsed="false"/>
    <row r="33" customFormat="false" ht="12.8" hidden="false" customHeight="false" outlineLevel="0" collapsed="false"/>
    <row r="34" customFormat="false" ht="12.8" hidden="false" customHeight="false" outlineLevel="0" collapsed="false"/>
    <row r="35" customFormat="false" ht="12.8" hidden="false" customHeight="false" outlineLevel="0" collapsed="false"/>
    <row r="36" customFormat="false" ht="12.8" hidden="false" customHeight="false" outlineLevel="0" collapsed="false"/>
    <row r="37" customFormat="false" ht="12.8" hidden="false" customHeight="false" outlineLevel="0" collapsed="false"/>
    <row r="38" customFormat="false" ht="12.8" hidden="false" customHeight="false" outlineLevel="0" collapsed="false"/>
    <row r="39" customFormat="false" ht="12.8" hidden="false" customHeight="false" outlineLevel="0" collapsed="false"/>
    <row r="40" customFormat="false" ht="12.8" hidden="false" customHeight="false" outlineLevel="0" collapsed="false"/>
    <row r="41" customFormat="false" ht="12.8" hidden="false" customHeight="false" outlineLevel="0" collapsed="false"/>
    <row r="42" customFormat="false" ht="12.8" hidden="false" customHeight="false" outlineLevel="0" collapsed="false"/>
    <row r="43" customFormat="false" ht="12.8" hidden="false" customHeight="false" outlineLevel="0" collapsed="false"/>
    <row r="44" customFormat="false" ht="12.8" hidden="false" customHeight="false" outlineLevel="0" collapsed="false"/>
    <row r="45" customFormat="false" ht="12.8" hidden="false" customHeight="false" outlineLevel="0" collapsed="false"/>
    <row r="46" customFormat="false" ht="12.8" hidden="false" customHeight="false" outlineLevel="0" collapsed="false"/>
    <row r="47" customFormat="false" ht="12.8" hidden="false" customHeight="false" outlineLevel="0" collapsed="false"/>
    <row r="48" customFormat="false" ht="12.8" hidden="false" customHeight="false" outlineLevel="0" collapsed="false"/>
    <row r="49" customFormat="false" ht="12.8" hidden="false" customHeight="false" outlineLevel="0" collapsed="false"/>
    <row r="50" customFormat="false" ht="12.8" hidden="false" customHeight="false" outlineLevel="0" collapsed="false"/>
    <row r="51" customFormat="false" ht="12.8" hidden="false" customHeight="false" outlineLevel="0" collapsed="false"/>
    <row r="52" customFormat="false" ht="12.8" hidden="false" customHeight="false" outlineLevel="0" collapsed="false"/>
    <row r="53" customFormat="false" ht="12.8" hidden="false" customHeight="false" outlineLevel="0" collapsed="false"/>
    <row r="54" customFormat="false" ht="12.8" hidden="false" customHeight="false" outlineLevel="0" collapsed="false"/>
    <row r="55" customFormat="false" ht="12.8" hidden="false" customHeight="false" outlineLevel="0" collapsed="false"/>
    <row r="56" customFormat="false" ht="12.8" hidden="false" customHeight="false" outlineLevel="0" collapsed="false"/>
    <row r="57" customFormat="false" ht="12.8" hidden="false" customHeight="false" outlineLevel="0" collapsed="false"/>
    <row r="58" customFormat="false" ht="12.8" hidden="false" customHeight="false" outlineLevel="0" collapsed="false"/>
    <row r="59" customFormat="false" ht="12.8" hidden="false" customHeight="false" outlineLevel="0" collapsed="false"/>
    <row r="60" customFormat="false" ht="12.8" hidden="false" customHeight="false" outlineLevel="0" collapsed="false"/>
    <row r="61" customFormat="false" ht="12.8" hidden="false" customHeight="false" outlineLevel="0" collapsed="false"/>
    <row r="62" customFormat="false" ht="12.8" hidden="false" customHeight="false" outlineLevel="0" collapsed="false"/>
    <row r="63" customFormat="false" ht="12.8" hidden="false" customHeight="false" outlineLevel="0" collapsed="false"/>
    <row r="64" customFormat="false" ht="12.8" hidden="false" customHeight="false" outlineLevel="0" collapsed="false"/>
    <row r="65" customFormat="false" ht="12.8" hidden="false" customHeight="false" outlineLevel="0" collapsed="false"/>
    <row r="66" customFormat="false" ht="12.8" hidden="false" customHeight="false" outlineLevel="0" collapsed="false"/>
    <row r="67" customFormat="false" ht="12.8" hidden="false" customHeight="false" outlineLevel="0" collapsed="false"/>
    <row r="68" customFormat="false" ht="12.8" hidden="false" customHeight="false" outlineLevel="0" collapsed="false"/>
    <row r="69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81"/>
  <sheetViews>
    <sheetView showFormulas="false" showGridLines="true" showRowColHeaders="true" showZeros="true" rightToLeft="false" tabSelected="true" showOutlineSymbols="true" defaultGridColor="true" view="normal" topLeftCell="A271" colorId="64" zoomScale="100" zoomScaleNormal="100" zoomScalePageLayoutView="100" workbookViewId="0">
      <selection pane="topLeft" activeCell="E289" activeCellId="0" sqref="E289"/>
    </sheetView>
  </sheetViews>
  <sheetFormatPr defaultColWidth="11.9921875" defaultRowHeight="12.8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7.63"/>
    <col collapsed="false" customWidth="true" hidden="false" outlineLevel="0" max="4" min="4" style="0" width="11.72"/>
    <col collapsed="false" customWidth="true" hidden="false" outlineLevel="0" max="7" min="7" style="0" width="15.8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2" t="n">
        <v>46067</v>
      </c>
      <c r="B2" s="0" t="s">
        <v>125</v>
      </c>
      <c r="C2" s="0" t="s">
        <v>126</v>
      </c>
      <c r="D2" s="0" t="s">
        <v>127</v>
      </c>
      <c r="E2" s="0" t="n">
        <v>2</v>
      </c>
      <c r="F2" s="3" t="n">
        <v>0.604166666666667</v>
      </c>
      <c r="G2" s="0" t="s">
        <v>128</v>
      </c>
      <c r="H2" s="0" t="s">
        <v>129</v>
      </c>
      <c r="I2" s="0" t="s">
        <v>130</v>
      </c>
      <c r="J2" s="0" t="s">
        <v>131</v>
      </c>
    </row>
    <row r="3" customFormat="false" ht="12.8" hidden="false" customHeight="false" outlineLevel="0" collapsed="false">
      <c r="A3" s="2" t="n">
        <v>46067</v>
      </c>
      <c r="B3" s="0" t="s">
        <v>132</v>
      </c>
      <c r="C3" s="0" t="s">
        <v>133</v>
      </c>
      <c r="D3" s="0" t="s">
        <v>127</v>
      </c>
      <c r="E3" s="0" t="n">
        <v>2</v>
      </c>
      <c r="F3" s="3" t="n">
        <v>0.604166666666667</v>
      </c>
      <c r="G3" s="0" t="s">
        <v>134</v>
      </c>
      <c r="H3" s="0" t="s">
        <v>129</v>
      </c>
      <c r="I3" s="0" t="s">
        <v>130</v>
      </c>
      <c r="J3" s="0" t="s">
        <v>131</v>
      </c>
    </row>
    <row r="4" customFormat="false" ht="12.8" hidden="false" customHeight="false" outlineLevel="0" collapsed="false">
      <c r="A4" s="2" t="n">
        <v>46067</v>
      </c>
      <c r="B4" s="0" t="s">
        <v>135</v>
      </c>
      <c r="C4" s="0" t="s">
        <v>136</v>
      </c>
      <c r="D4" s="0" t="s">
        <v>127</v>
      </c>
      <c r="E4" s="0" t="n">
        <v>2</v>
      </c>
      <c r="F4" s="3" t="n">
        <v>0.625</v>
      </c>
      <c r="G4" s="0" t="s">
        <v>137</v>
      </c>
      <c r="H4" s="0" t="s">
        <v>129</v>
      </c>
      <c r="I4" s="0" t="s">
        <v>130</v>
      </c>
      <c r="J4" s="0" t="s">
        <v>131</v>
      </c>
    </row>
    <row r="5" customFormat="false" ht="12.8" hidden="false" customHeight="false" outlineLevel="0" collapsed="false">
      <c r="A5" s="2" t="n">
        <v>46067</v>
      </c>
      <c r="B5" s="0" t="s">
        <v>138</v>
      </c>
      <c r="C5" s="0" t="s">
        <v>139</v>
      </c>
      <c r="D5" s="0" t="s">
        <v>127</v>
      </c>
      <c r="E5" s="0" t="n">
        <v>2</v>
      </c>
      <c r="F5" s="3" t="n">
        <v>0.625</v>
      </c>
      <c r="G5" s="0" t="s">
        <v>140</v>
      </c>
      <c r="H5" s="0" t="s">
        <v>129</v>
      </c>
      <c r="I5" s="0" t="s">
        <v>130</v>
      </c>
      <c r="J5" s="0" t="s">
        <v>131</v>
      </c>
    </row>
    <row r="6" customFormat="false" ht="12.8" hidden="false" customHeight="false" outlineLevel="0" collapsed="false">
      <c r="A6" s="2" t="n">
        <v>46071</v>
      </c>
      <c r="B6" s="0" t="s">
        <v>141</v>
      </c>
      <c r="C6" s="0" t="s">
        <v>142</v>
      </c>
      <c r="D6" s="0" t="s">
        <v>127</v>
      </c>
      <c r="E6" s="0" t="n">
        <v>2</v>
      </c>
      <c r="F6" s="3" t="n">
        <v>0.75</v>
      </c>
      <c r="G6" s="0" t="s">
        <v>143</v>
      </c>
      <c r="H6" s="0" t="s">
        <v>129</v>
      </c>
      <c r="I6" s="0" t="s">
        <v>130</v>
      </c>
      <c r="J6" s="0" t="s">
        <v>131</v>
      </c>
    </row>
    <row r="7" customFormat="false" ht="12.8" hidden="false" customHeight="false" outlineLevel="0" collapsed="false">
      <c r="A7" s="2" t="n">
        <v>46074</v>
      </c>
      <c r="B7" s="0" t="s">
        <v>125</v>
      </c>
      <c r="C7" s="0" t="s">
        <v>141</v>
      </c>
      <c r="D7" s="0" t="s">
        <v>127</v>
      </c>
      <c r="E7" s="0" t="n">
        <v>3</v>
      </c>
      <c r="F7" s="3" t="n">
        <v>0.604166666666667</v>
      </c>
      <c r="G7" s="0" t="s">
        <v>144</v>
      </c>
      <c r="H7" s="0" t="s">
        <v>129</v>
      </c>
      <c r="I7" s="0" t="s">
        <v>130</v>
      </c>
      <c r="J7" s="0" t="s">
        <v>131</v>
      </c>
    </row>
    <row r="8" customFormat="false" ht="12.8" hidden="false" customHeight="false" outlineLevel="0" collapsed="false">
      <c r="A8" s="2" t="n">
        <v>46074</v>
      </c>
      <c r="B8" s="0" t="s">
        <v>142</v>
      </c>
      <c r="C8" s="0" t="s">
        <v>138</v>
      </c>
      <c r="D8" s="0" t="s">
        <v>127</v>
      </c>
      <c r="E8" s="0" t="n">
        <v>3</v>
      </c>
      <c r="F8" s="3" t="n">
        <v>0.604166666666667</v>
      </c>
      <c r="G8" s="0" t="s">
        <v>145</v>
      </c>
      <c r="H8" s="0" t="s">
        <v>129</v>
      </c>
      <c r="I8" s="0" t="s">
        <v>130</v>
      </c>
      <c r="J8" s="0" t="s">
        <v>131</v>
      </c>
    </row>
    <row r="9" customFormat="false" ht="12.8" hidden="false" customHeight="false" outlineLevel="0" collapsed="false">
      <c r="A9" s="2" t="n">
        <v>46074</v>
      </c>
      <c r="B9" s="0" t="s">
        <v>136</v>
      </c>
      <c r="C9" s="0" t="s">
        <v>132</v>
      </c>
      <c r="D9" s="0" t="s">
        <v>127</v>
      </c>
      <c r="E9" s="0" t="n">
        <v>3</v>
      </c>
      <c r="F9" s="3" t="n">
        <v>0.645833333333333</v>
      </c>
      <c r="G9" s="0" t="s">
        <v>146</v>
      </c>
      <c r="H9" s="0" t="s">
        <v>129</v>
      </c>
      <c r="I9" s="0" t="s">
        <v>130</v>
      </c>
      <c r="J9" s="0" t="s">
        <v>131</v>
      </c>
    </row>
    <row r="10" customFormat="false" ht="12.8" hidden="false" customHeight="false" outlineLevel="0" collapsed="false">
      <c r="A10" s="2" t="n">
        <v>46074</v>
      </c>
      <c r="B10" s="0" t="s">
        <v>139</v>
      </c>
      <c r="C10" s="0" t="s">
        <v>135</v>
      </c>
      <c r="D10" s="0" t="s">
        <v>127</v>
      </c>
      <c r="E10" s="0" t="n">
        <v>3</v>
      </c>
      <c r="F10" s="3" t="n">
        <v>0.666666666666667</v>
      </c>
      <c r="G10" s="0" t="s">
        <v>147</v>
      </c>
      <c r="H10" s="0" t="s">
        <v>129</v>
      </c>
      <c r="I10" s="0" t="s">
        <v>130</v>
      </c>
      <c r="J10" s="0" t="s">
        <v>131</v>
      </c>
    </row>
    <row r="11" customFormat="false" ht="12.8" hidden="false" customHeight="false" outlineLevel="0" collapsed="false">
      <c r="A11" s="2" t="n">
        <v>46075</v>
      </c>
      <c r="B11" s="0" t="s">
        <v>126</v>
      </c>
      <c r="C11" s="0" t="s">
        <v>133</v>
      </c>
      <c r="D11" s="0" t="s">
        <v>127</v>
      </c>
      <c r="E11" s="0" t="n">
        <v>3</v>
      </c>
      <c r="F11" s="3" t="n">
        <v>0.416666666666667</v>
      </c>
      <c r="G11" s="0" t="s">
        <v>148</v>
      </c>
      <c r="H11" s="0" t="s">
        <v>129</v>
      </c>
      <c r="I11" s="0" t="s">
        <v>130</v>
      </c>
      <c r="J11" s="0" t="s">
        <v>131</v>
      </c>
    </row>
    <row r="12" customFormat="false" ht="12.8" hidden="false" customHeight="false" outlineLevel="0" collapsed="false">
      <c r="A12" s="2" t="n">
        <v>46081</v>
      </c>
      <c r="B12" s="0" t="s">
        <v>141</v>
      </c>
      <c r="C12" s="0" t="s">
        <v>126</v>
      </c>
      <c r="D12" s="0" t="s">
        <v>127</v>
      </c>
      <c r="E12" s="0" t="n">
        <v>4</v>
      </c>
      <c r="F12" s="3" t="n">
        <v>0.604166666666667</v>
      </c>
      <c r="G12" s="0" t="s">
        <v>149</v>
      </c>
      <c r="H12" s="0" t="s">
        <v>129</v>
      </c>
      <c r="I12" s="0" t="s">
        <v>130</v>
      </c>
      <c r="J12" s="0" t="s">
        <v>131</v>
      </c>
    </row>
    <row r="13" customFormat="false" ht="12.8" hidden="false" customHeight="false" outlineLevel="0" collapsed="false">
      <c r="A13" s="2" t="n">
        <v>46081</v>
      </c>
      <c r="B13" s="0" t="s">
        <v>133</v>
      </c>
      <c r="C13" s="0" t="s">
        <v>136</v>
      </c>
      <c r="D13" s="0" t="s">
        <v>127</v>
      </c>
      <c r="E13" s="0" t="n">
        <v>4</v>
      </c>
      <c r="F13" s="3" t="n">
        <v>0.604166666666667</v>
      </c>
      <c r="G13" s="0" t="s">
        <v>150</v>
      </c>
      <c r="H13" s="0" t="s">
        <v>129</v>
      </c>
      <c r="I13" s="0" t="s">
        <v>130</v>
      </c>
      <c r="J13" s="0" t="s">
        <v>131</v>
      </c>
    </row>
    <row r="14" customFormat="false" ht="12.8" hidden="false" customHeight="false" outlineLevel="0" collapsed="false">
      <c r="A14" s="2" t="n">
        <v>46081</v>
      </c>
      <c r="B14" s="0" t="s">
        <v>132</v>
      </c>
      <c r="C14" s="0" t="s">
        <v>139</v>
      </c>
      <c r="D14" s="0" t="s">
        <v>127</v>
      </c>
      <c r="E14" s="0" t="n">
        <v>4</v>
      </c>
      <c r="F14" s="3" t="n">
        <v>0.604166666666667</v>
      </c>
      <c r="G14" s="0" t="s">
        <v>151</v>
      </c>
      <c r="H14" s="0" t="s">
        <v>129</v>
      </c>
      <c r="I14" s="0" t="s">
        <v>130</v>
      </c>
      <c r="J14" s="0" t="s">
        <v>131</v>
      </c>
    </row>
    <row r="15" customFormat="false" ht="12.8" hidden="false" customHeight="false" outlineLevel="0" collapsed="false">
      <c r="A15" s="2" t="n">
        <v>46081</v>
      </c>
      <c r="B15" s="0" t="s">
        <v>135</v>
      </c>
      <c r="C15" s="0" t="s">
        <v>142</v>
      </c>
      <c r="D15" s="0" t="s">
        <v>127</v>
      </c>
      <c r="E15" s="0" t="n">
        <v>4</v>
      </c>
      <c r="F15" s="3" t="n">
        <v>0.625</v>
      </c>
      <c r="G15" s="0" t="s">
        <v>152</v>
      </c>
      <c r="H15" s="0" t="s">
        <v>129</v>
      </c>
      <c r="I15" s="0" t="s">
        <v>130</v>
      </c>
      <c r="J15" s="0" t="s">
        <v>131</v>
      </c>
    </row>
    <row r="16" customFormat="false" ht="12.8" hidden="false" customHeight="false" outlineLevel="0" collapsed="false">
      <c r="A16" s="2" t="n">
        <v>46081</v>
      </c>
      <c r="B16" s="0" t="s">
        <v>138</v>
      </c>
      <c r="C16" s="0" t="s">
        <v>125</v>
      </c>
      <c r="D16" s="0" t="s">
        <v>127</v>
      </c>
      <c r="E16" s="0" t="n">
        <v>4</v>
      </c>
      <c r="F16" s="3" t="n">
        <v>0.625</v>
      </c>
      <c r="G16" s="0" t="s">
        <v>153</v>
      </c>
      <c r="H16" s="0" t="s">
        <v>129</v>
      </c>
      <c r="I16" s="0" t="s">
        <v>130</v>
      </c>
      <c r="J16" s="0" t="s">
        <v>131</v>
      </c>
    </row>
    <row r="17" customFormat="false" ht="12.8" hidden="false" customHeight="false" outlineLevel="0" collapsed="false">
      <c r="A17" s="2" t="n">
        <v>46088</v>
      </c>
      <c r="B17" s="0" t="s">
        <v>141</v>
      </c>
      <c r="C17" s="0" t="s">
        <v>138</v>
      </c>
      <c r="D17" s="0" t="s">
        <v>127</v>
      </c>
      <c r="E17" s="0" t="n">
        <v>5</v>
      </c>
      <c r="F17" s="3" t="n">
        <v>0.604166666666667</v>
      </c>
      <c r="G17" s="0" t="s">
        <v>154</v>
      </c>
      <c r="H17" s="0" t="s">
        <v>129</v>
      </c>
      <c r="I17" s="0" t="s">
        <v>130</v>
      </c>
      <c r="J17" s="0" t="s">
        <v>131</v>
      </c>
    </row>
    <row r="18" customFormat="false" ht="12.8" hidden="false" customHeight="false" outlineLevel="0" collapsed="false">
      <c r="A18" s="2" t="n">
        <v>46088</v>
      </c>
      <c r="B18" s="0" t="s">
        <v>125</v>
      </c>
      <c r="C18" s="0" t="s">
        <v>135</v>
      </c>
      <c r="D18" s="0" t="s">
        <v>127</v>
      </c>
      <c r="E18" s="0" t="n">
        <v>5</v>
      </c>
      <c r="F18" s="3" t="n">
        <v>0.604166666666667</v>
      </c>
      <c r="G18" s="0" t="s">
        <v>155</v>
      </c>
      <c r="H18" s="0" t="s">
        <v>129</v>
      </c>
      <c r="I18" s="0" t="s">
        <v>130</v>
      </c>
      <c r="J18" s="0" t="s">
        <v>131</v>
      </c>
    </row>
    <row r="19" customFormat="false" ht="12.8" hidden="false" customHeight="false" outlineLevel="0" collapsed="false">
      <c r="A19" s="2" t="n">
        <v>46088</v>
      </c>
      <c r="B19" s="0" t="s">
        <v>142</v>
      </c>
      <c r="C19" s="0" t="s">
        <v>132</v>
      </c>
      <c r="D19" s="0" t="s">
        <v>127</v>
      </c>
      <c r="E19" s="0" t="n">
        <v>5</v>
      </c>
      <c r="F19" s="3" t="n">
        <v>0.604166666666667</v>
      </c>
      <c r="G19" s="0" t="s">
        <v>156</v>
      </c>
      <c r="H19" s="0" t="s">
        <v>129</v>
      </c>
      <c r="I19" s="0" t="s">
        <v>130</v>
      </c>
      <c r="J19" s="0" t="s">
        <v>131</v>
      </c>
    </row>
    <row r="20" customFormat="false" ht="12.8" hidden="false" customHeight="false" outlineLevel="0" collapsed="false">
      <c r="A20" s="2" t="n">
        <v>46088</v>
      </c>
      <c r="B20" s="0" t="s">
        <v>139</v>
      </c>
      <c r="C20" s="0" t="s">
        <v>133</v>
      </c>
      <c r="D20" s="0" t="s">
        <v>127</v>
      </c>
      <c r="E20" s="0" t="n">
        <v>5</v>
      </c>
      <c r="F20" s="3" t="n">
        <v>0.65625</v>
      </c>
      <c r="G20" s="0" t="s">
        <v>157</v>
      </c>
      <c r="H20" s="0" t="s">
        <v>129</v>
      </c>
      <c r="I20" s="0" t="s">
        <v>130</v>
      </c>
      <c r="J20" s="0" t="s">
        <v>131</v>
      </c>
    </row>
    <row r="21" customFormat="false" ht="12.8" hidden="false" customHeight="false" outlineLevel="0" collapsed="false">
      <c r="A21" s="2" t="n">
        <v>46089</v>
      </c>
      <c r="B21" s="0" t="s">
        <v>126</v>
      </c>
      <c r="C21" s="0" t="s">
        <v>136</v>
      </c>
      <c r="D21" s="0" t="s">
        <v>127</v>
      </c>
      <c r="E21" s="0" t="n">
        <v>5</v>
      </c>
      <c r="F21" s="3" t="n">
        <v>0.416666666666667</v>
      </c>
      <c r="G21" s="0" t="s">
        <v>158</v>
      </c>
      <c r="H21" s="0" t="s">
        <v>129</v>
      </c>
      <c r="I21" s="0" t="s">
        <v>130</v>
      </c>
      <c r="J21" s="0" t="s">
        <v>131</v>
      </c>
    </row>
    <row r="22" customFormat="false" ht="12.8" hidden="false" customHeight="false" outlineLevel="0" collapsed="false">
      <c r="A22" s="2" t="n">
        <v>46095</v>
      </c>
      <c r="B22" s="0" t="s">
        <v>133</v>
      </c>
      <c r="C22" s="0" t="s">
        <v>142</v>
      </c>
      <c r="D22" s="0" t="s">
        <v>127</v>
      </c>
      <c r="E22" s="0" t="n">
        <v>6</v>
      </c>
      <c r="F22" s="3" t="n">
        <v>0.604166666666667</v>
      </c>
      <c r="G22" s="0" t="s">
        <v>159</v>
      </c>
      <c r="H22" s="0" t="s">
        <v>129</v>
      </c>
      <c r="I22" s="0" t="s">
        <v>130</v>
      </c>
      <c r="J22" s="0" t="s">
        <v>131</v>
      </c>
    </row>
    <row r="23" customFormat="false" ht="12.8" hidden="false" customHeight="false" outlineLevel="0" collapsed="false">
      <c r="A23" s="2" t="n">
        <v>46095</v>
      </c>
      <c r="B23" s="0" t="s">
        <v>132</v>
      </c>
      <c r="C23" s="0" t="s">
        <v>125</v>
      </c>
      <c r="D23" s="0" t="s">
        <v>127</v>
      </c>
      <c r="E23" s="0" t="n">
        <v>6</v>
      </c>
      <c r="F23" s="3" t="n">
        <v>0.604166666666667</v>
      </c>
      <c r="G23" s="0" t="s">
        <v>160</v>
      </c>
      <c r="H23" s="0" t="s">
        <v>129</v>
      </c>
      <c r="I23" s="0" t="s">
        <v>130</v>
      </c>
      <c r="J23" s="0" t="s">
        <v>131</v>
      </c>
    </row>
    <row r="24" customFormat="false" ht="12.8" hidden="false" customHeight="false" outlineLevel="0" collapsed="false">
      <c r="A24" s="2" t="n">
        <v>46095</v>
      </c>
      <c r="B24" s="0" t="s">
        <v>135</v>
      </c>
      <c r="C24" s="0" t="s">
        <v>141</v>
      </c>
      <c r="D24" s="0" t="s">
        <v>127</v>
      </c>
      <c r="E24" s="0" t="n">
        <v>6</v>
      </c>
      <c r="F24" s="3" t="n">
        <v>0.625</v>
      </c>
      <c r="G24" s="0" t="s">
        <v>161</v>
      </c>
      <c r="H24" s="0" t="s">
        <v>129</v>
      </c>
      <c r="I24" s="0" t="s">
        <v>130</v>
      </c>
      <c r="J24" s="0" t="s">
        <v>131</v>
      </c>
    </row>
    <row r="25" customFormat="false" ht="12.8" hidden="false" customHeight="false" outlineLevel="0" collapsed="false">
      <c r="A25" s="2" t="n">
        <v>46095</v>
      </c>
      <c r="B25" s="0" t="s">
        <v>138</v>
      </c>
      <c r="C25" s="0" t="s">
        <v>126</v>
      </c>
      <c r="D25" s="0" t="s">
        <v>127</v>
      </c>
      <c r="E25" s="0" t="n">
        <v>6</v>
      </c>
      <c r="F25" s="3" t="n">
        <v>0.625</v>
      </c>
      <c r="G25" s="0" t="s">
        <v>162</v>
      </c>
      <c r="H25" s="0" t="s">
        <v>129</v>
      </c>
      <c r="I25" s="0" t="s">
        <v>130</v>
      </c>
      <c r="J25" s="0" t="s">
        <v>131</v>
      </c>
    </row>
    <row r="26" customFormat="false" ht="12.8" hidden="false" customHeight="false" outlineLevel="0" collapsed="false">
      <c r="A26" s="2" t="n">
        <v>46095</v>
      </c>
      <c r="B26" s="0" t="s">
        <v>136</v>
      </c>
      <c r="C26" s="0" t="s">
        <v>139</v>
      </c>
      <c r="D26" s="0" t="s">
        <v>127</v>
      </c>
      <c r="E26" s="0" t="n">
        <v>6</v>
      </c>
      <c r="F26" s="3" t="n">
        <v>0.645833333333333</v>
      </c>
      <c r="G26" s="0" t="s">
        <v>163</v>
      </c>
      <c r="H26" s="0" t="s">
        <v>129</v>
      </c>
      <c r="I26" s="0" t="s">
        <v>130</v>
      </c>
      <c r="J26" s="0" t="s">
        <v>131</v>
      </c>
    </row>
    <row r="27" customFormat="false" ht="12.8" hidden="false" customHeight="false" outlineLevel="0" collapsed="false">
      <c r="A27" s="2" t="n">
        <v>46102</v>
      </c>
      <c r="B27" s="0" t="s">
        <v>141</v>
      </c>
      <c r="C27" s="0" t="s">
        <v>132</v>
      </c>
      <c r="D27" s="0" t="s">
        <v>127</v>
      </c>
      <c r="E27" s="0" t="n">
        <v>7</v>
      </c>
      <c r="F27" s="3" t="n">
        <v>0.604166666666667</v>
      </c>
      <c r="G27" s="0" t="s">
        <v>164</v>
      </c>
      <c r="H27" s="0" t="s">
        <v>129</v>
      </c>
      <c r="I27" s="0" t="s">
        <v>130</v>
      </c>
      <c r="J27" s="0" t="s">
        <v>131</v>
      </c>
    </row>
    <row r="28" customFormat="false" ht="12.8" hidden="false" customHeight="false" outlineLevel="0" collapsed="false">
      <c r="A28" s="2" t="n">
        <v>46102</v>
      </c>
      <c r="B28" s="0" t="s">
        <v>125</v>
      </c>
      <c r="C28" s="0" t="s">
        <v>133</v>
      </c>
      <c r="D28" s="0" t="s">
        <v>127</v>
      </c>
      <c r="E28" s="0" t="n">
        <v>7</v>
      </c>
      <c r="F28" s="3" t="n">
        <v>0.604166666666667</v>
      </c>
      <c r="G28" s="0" t="s">
        <v>165</v>
      </c>
      <c r="H28" s="0" t="s">
        <v>129</v>
      </c>
      <c r="I28" s="0" t="s">
        <v>130</v>
      </c>
      <c r="J28" s="0" t="s">
        <v>131</v>
      </c>
    </row>
    <row r="29" customFormat="false" ht="12.8" hidden="false" customHeight="false" outlineLevel="0" collapsed="false">
      <c r="A29" s="2" t="n">
        <v>46102</v>
      </c>
      <c r="B29" s="0" t="s">
        <v>142</v>
      </c>
      <c r="C29" s="0" t="s">
        <v>136</v>
      </c>
      <c r="D29" s="0" t="s">
        <v>127</v>
      </c>
      <c r="E29" s="0" t="n">
        <v>7</v>
      </c>
      <c r="F29" s="3" t="n">
        <v>0.604166666666667</v>
      </c>
      <c r="G29" s="0" t="s">
        <v>166</v>
      </c>
      <c r="H29" s="0" t="s">
        <v>129</v>
      </c>
      <c r="I29" s="0" t="s">
        <v>130</v>
      </c>
      <c r="J29" s="0" t="s">
        <v>131</v>
      </c>
    </row>
    <row r="30" customFormat="false" ht="12.8" hidden="false" customHeight="false" outlineLevel="0" collapsed="false">
      <c r="A30" s="2" t="n">
        <v>46102</v>
      </c>
      <c r="B30" s="0" t="s">
        <v>138</v>
      </c>
      <c r="C30" s="0" t="s">
        <v>135</v>
      </c>
      <c r="D30" s="0" t="s">
        <v>127</v>
      </c>
      <c r="E30" s="0" t="n">
        <v>7</v>
      </c>
      <c r="F30" s="3" t="n">
        <v>0.625</v>
      </c>
      <c r="G30" s="0" t="s">
        <v>167</v>
      </c>
      <c r="H30" s="0" t="s">
        <v>129</v>
      </c>
      <c r="I30" s="0" t="s">
        <v>130</v>
      </c>
      <c r="J30" s="0" t="s">
        <v>131</v>
      </c>
    </row>
    <row r="31" customFormat="false" ht="12.8" hidden="false" customHeight="false" outlineLevel="0" collapsed="false">
      <c r="A31" s="2" t="n">
        <v>46103</v>
      </c>
      <c r="B31" s="0" t="s">
        <v>126</v>
      </c>
      <c r="C31" s="0" t="s">
        <v>139</v>
      </c>
      <c r="D31" s="0" t="s">
        <v>127</v>
      </c>
      <c r="E31" s="0" t="n">
        <v>7</v>
      </c>
      <c r="F31" s="3" t="n">
        <v>0.416666666666667</v>
      </c>
      <c r="G31" s="0" t="s">
        <v>168</v>
      </c>
      <c r="H31" s="0" t="s">
        <v>129</v>
      </c>
      <c r="I31" s="0" t="s">
        <v>130</v>
      </c>
      <c r="J31" s="0" t="s">
        <v>131</v>
      </c>
    </row>
    <row r="32" customFormat="false" ht="12.8" hidden="false" customHeight="false" outlineLevel="0" collapsed="false">
      <c r="A32" s="2" t="n">
        <v>46109</v>
      </c>
      <c r="B32" s="0" t="s">
        <v>139</v>
      </c>
      <c r="C32" s="0" t="s">
        <v>142</v>
      </c>
      <c r="D32" s="0" t="s">
        <v>127</v>
      </c>
      <c r="E32" s="0" t="n">
        <v>8</v>
      </c>
      <c r="F32" s="3" t="n">
        <v>0.604166666666667</v>
      </c>
      <c r="G32" s="0" t="s">
        <v>169</v>
      </c>
      <c r="H32" s="0" t="s">
        <v>129</v>
      </c>
      <c r="I32" s="0" t="s">
        <v>130</v>
      </c>
      <c r="J32" s="0" t="s">
        <v>131</v>
      </c>
    </row>
    <row r="33" customFormat="false" ht="12.8" hidden="false" customHeight="false" outlineLevel="0" collapsed="false">
      <c r="A33" s="2" t="n">
        <v>46109</v>
      </c>
      <c r="B33" s="0" t="s">
        <v>133</v>
      </c>
      <c r="C33" s="0" t="s">
        <v>141</v>
      </c>
      <c r="D33" s="0" t="s">
        <v>127</v>
      </c>
      <c r="E33" s="0" t="n">
        <v>8</v>
      </c>
      <c r="F33" s="3" t="n">
        <v>0.604166666666667</v>
      </c>
      <c r="G33" s="0" t="s">
        <v>170</v>
      </c>
      <c r="H33" s="0" t="s">
        <v>129</v>
      </c>
      <c r="I33" s="0" t="s">
        <v>130</v>
      </c>
      <c r="J33" s="0" t="s">
        <v>131</v>
      </c>
    </row>
    <row r="34" customFormat="false" ht="12.8" hidden="false" customHeight="false" outlineLevel="0" collapsed="false">
      <c r="A34" s="2" t="n">
        <v>46109</v>
      </c>
      <c r="B34" s="0" t="s">
        <v>132</v>
      </c>
      <c r="C34" s="0" t="s">
        <v>138</v>
      </c>
      <c r="D34" s="0" t="s">
        <v>127</v>
      </c>
      <c r="E34" s="0" t="n">
        <v>8</v>
      </c>
      <c r="F34" s="3" t="n">
        <v>0.604166666666667</v>
      </c>
      <c r="G34" s="0" t="s">
        <v>171</v>
      </c>
      <c r="H34" s="0" t="s">
        <v>129</v>
      </c>
      <c r="I34" s="0" t="s">
        <v>130</v>
      </c>
      <c r="J34" s="0" t="s">
        <v>131</v>
      </c>
    </row>
    <row r="35" customFormat="false" ht="12.8" hidden="false" customHeight="false" outlineLevel="0" collapsed="false">
      <c r="A35" s="2" t="n">
        <v>46109</v>
      </c>
      <c r="B35" s="0" t="s">
        <v>136</v>
      </c>
      <c r="C35" s="0" t="s">
        <v>125</v>
      </c>
      <c r="D35" s="0" t="s">
        <v>127</v>
      </c>
      <c r="E35" s="0" t="n">
        <v>8</v>
      </c>
      <c r="F35" s="3" t="n">
        <v>0.645833333333333</v>
      </c>
      <c r="G35" s="0" t="s">
        <v>172</v>
      </c>
      <c r="H35" s="0" t="s">
        <v>129</v>
      </c>
      <c r="I35" s="0" t="s">
        <v>130</v>
      </c>
      <c r="J35" s="0" t="s">
        <v>131</v>
      </c>
    </row>
    <row r="36" customFormat="false" ht="12.8" hidden="false" customHeight="false" outlineLevel="0" collapsed="false">
      <c r="A36" s="2" t="n">
        <v>46110</v>
      </c>
      <c r="B36" s="0" t="s">
        <v>126</v>
      </c>
      <c r="C36" s="0" t="s">
        <v>135</v>
      </c>
      <c r="D36" s="0" t="s">
        <v>127</v>
      </c>
      <c r="E36" s="0" t="n">
        <v>8</v>
      </c>
      <c r="F36" s="3" t="n">
        <v>0.416666666666667</v>
      </c>
      <c r="G36" s="0" t="s">
        <v>173</v>
      </c>
      <c r="H36" s="0" t="s">
        <v>129</v>
      </c>
      <c r="I36" s="0" t="s">
        <v>130</v>
      </c>
      <c r="J36" s="0" t="s">
        <v>131</v>
      </c>
    </row>
    <row r="37" customFormat="false" ht="12.8" hidden="false" customHeight="false" outlineLevel="0" collapsed="false">
      <c r="A37" s="2" t="n">
        <v>46123</v>
      </c>
      <c r="B37" s="0" t="s">
        <v>141</v>
      </c>
      <c r="C37" s="0" t="s">
        <v>136</v>
      </c>
      <c r="D37" s="0" t="s">
        <v>127</v>
      </c>
      <c r="E37" s="0" t="n">
        <v>9</v>
      </c>
      <c r="F37" s="3" t="n">
        <v>0.604166666666667</v>
      </c>
      <c r="G37" s="0" t="s">
        <v>174</v>
      </c>
      <c r="H37" s="0" t="s">
        <v>129</v>
      </c>
      <c r="I37" s="0" t="s">
        <v>130</v>
      </c>
      <c r="J37" s="0" t="s">
        <v>131</v>
      </c>
    </row>
    <row r="38" customFormat="false" ht="12.8" hidden="false" customHeight="false" outlineLevel="0" collapsed="false">
      <c r="A38" s="2" t="n">
        <v>46123</v>
      </c>
      <c r="B38" s="0" t="s">
        <v>125</v>
      </c>
      <c r="C38" s="0" t="s">
        <v>139</v>
      </c>
      <c r="D38" s="0" t="s">
        <v>127</v>
      </c>
      <c r="E38" s="0" t="n">
        <v>9</v>
      </c>
      <c r="F38" s="3" t="n">
        <v>0.604166666666667</v>
      </c>
      <c r="G38" s="0" t="s">
        <v>175</v>
      </c>
      <c r="H38" s="0" t="s">
        <v>129</v>
      </c>
      <c r="I38" s="0" t="s">
        <v>130</v>
      </c>
      <c r="J38" s="0" t="s">
        <v>131</v>
      </c>
    </row>
    <row r="39" customFormat="false" ht="12.8" hidden="false" customHeight="false" outlineLevel="0" collapsed="false">
      <c r="A39" s="2" t="n">
        <v>46123</v>
      </c>
      <c r="B39" s="0" t="s">
        <v>142</v>
      </c>
      <c r="C39" s="0" t="s">
        <v>126</v>
      </c>
      <c r="D39" s="0" t="s">
        <v>127</v>
      </c>
      <c r="E39" s="0" t="n">
        <v>9</v>
      </c>
      <c r="F39" s="3" t="n">
        <v>0.604166666666667</v>
      </c>
      <c r="G39" s="0" t="s">
        <v>176</v>
      </c>
      <c r="H39" s="0" t="s">
        <v>129</v>
      </c>
      <c r="I39" s="0" t="s">
        <v>130</v>
      </c>
      <c r="J39" s="0" t="s">
        <v>131</v>
      </c>
    </row>
    <row r="40" customFormat="false" ht="12.8" hidden="false" customHeight="false" outlineLevel="0" collapsed="false">
      <c r="A40" s="2" t="n">
        <v>46123</v>
      </c>
      <c r="B40" s="0" t="s">
        <v>135</v>
      </c>
      <c r="C40" s="0" t="s">
        <v>132</v>
      </c>
      <c r="D40" s="0" t="s">
        <v>127</v>
      </c>
      <c r="E40" s="0" t="n">
        <v>9</v>
      </c>
      <c r="F40" s="3" t="n">
        <v>0.625</v>
      </c>
      <c r="G40" s="0" t="s">
        <v>177</v>
      </c>
      <c r="H40" s="0" t="s">
        <v>129</v>
      </c>
      <c r="I40" s="0" t="s">
        <v>130</v>
      </c>
      <c r="J40" s="0" t="s">
        <v>131</v>
      </c>
    </row>
    <row r="41" customFormat="false" ht="12.8" hidden="false" customHeight="false" outlineLevel="0" collapsed="false">
      <c r="A41" s="2" t="n">
        <v>46123</v>
      </c>
      <c r="B41" s="0" t="s">
        <v>138</v>
      </c>
      <c r="C41" s="0" t="s">
        <v>133</v>
      </c>
      <c r="D41" s="0" t="s">
        <v>127</v>
      </c>
      <c r="E41" s="0" t="n">
        <v>9</v>
      </c>
      <c r="F41" s="3" t="n">
        <v>0.625</v>
      </c>
      <c r="G41" s="0" t="s">
        <v>178</v>
      </c>
      <c r="H41" s="0" t="s">
        <v>129</v>
      </c>
      <c r="I41" s="0" t="s">
        <v>130</v>
      </c>
      <c r="J41" s="0" t="s">
        <v>179</v>
      </c>
    </row>
    <row r="42" customFormat="false" ht="12.8" hidden="false" customHeight="false" outlineLevel="0" collapsed="false">
      <c r="A42" s="2" t="n">
        <v>46067</v>
      </c>
      <c r="B42" s="0" t="s">
        <v>180</v>
      </c>
      <c r="C42" s="0" t="s">
        <v>181</v>
      </c>
      <c r="D42" s="0" t="s">
        <v>127</v>
      </c>
      <c r="E42" s="0" t="n">
        <v>2</v>
      </c>
      <c r="F42" s="3" t="n">
        <v>0.604166666666667</v>
      </c>
      <c r="G42" s="0" t="s">
        <v>182</v>
      </c>
      <c r="H42" s="0" t="s">
        <v>183</v>
      </c>
      <c r="I42" s="0" t="s">
        <v>130</v>
      </c>
      <c r="J42" s="0" t="s">
        <v>131</v>
      </c>
    </row>
    <row r="43" customFormat="false" ht="12.8" hidden="false" customHeight="false" outlineLevel="0" collapsed="false">
      <c r="A43" s="2" t="n">
        <v>46067</v>
      </c>
      <c r="B43" s="0" t="s">
        <v>184</v>
      </c>
      <c r="C43" s="0" t="s">
        <v>185</v>
      </c>
      <c r="D43" s="0" t="s">
        <v>127</v>
      </c>
      <c r="E43" s="0" t="n">
        <v>2</v>
      </c>
      <c r="F43" s="3" t="n">
        <v>0.604166666666667</v>
      </c>
      <c r="G43" s="0" t="s">
        <v>186</v>
      </c>
      <c r="H43" s="0" t="s">
        <v>183</v>
      </c>
      <c r="I43" s="0" t="s">
        <v>130</v>
      </c>
      <c r="J43" s="0" t="s">
        <v>131</v>
      </c>
    </row>
    <row r="44" customFormat="false" ht="12.8" hidden="false" customHeight="false" outlineLevel="0" collapsed="false">
      <c r="A44" s="2" t="n">
        <v>46067</v>
      </c>
      <c r="B44" s="0" t="s">
        <v>187</v>
      </c>
      <c r="C44" s="0" t="s">
        <v>188</v>
      </c>
      <c r="D44" s="0" t="s">
        <v>127</v>
      </c>
      <c r="E44" s="0" t="n">
        <v>2</v>
      </c>
      <c r="F44" s="3" t="n">
        <v>0.625</v>
      </c>
      <c r="G44" s="0" t="s">
        <v>189</v>
      </c>
      <c r="H44" s="0" t="s">
        <v>183</v>
      </c>
      <c r="I44" s="0" t="s">
        <v>130</v>
      </c>
      <c r="J44" s="0" t="s">
        <v>131</v>
      </c>
    </row>
    <row r="45" customFormat="false" ht="12.8" hidden="false" customHeight="false" outlineLevel="0" collapsed="false">
      <c r="A45" s="2" t="n">
        <v>46067</v>
      </c>
      <c r="B45" s="0" t="s">
        <v>190</v>
      </c>
      <c r="C45" s="0" t="s">
        <v>191</v>
      </c>
      <c r="D45" s="0" t="s">
        <v>127</v>
      </c>
      <c r="E45" s="0" t="n">
        <v>2</v>
      </c>
      <c r="F45" s="3" t="n">
        <v>0.645833333333333</v>
      </c>
      <c r="G45" s="0" t="s">
        <v>192</v>
      </c>
      <c r="H45" s="0" t="s">
        <v>183</v>
      </c>
      <c r="I45" s="0" t="s">
        <v>130</v>
      </c>
      <c r="J45" s="0" t="s">
        <v>131</v>
      </c>
    </row>
    <row r="46" customFormat="false" ht="12.8" hidden="false" customHeight="false" outlineLevel="0" collapsed="false">
      <c r="A46" s="2" t="n">
        <v>46067</v>
      </c>
      <c r="B46" s="0" t="s">
        <v>193</v>
      </c>
      <c r="C46" s="0" t="s">
        <v>194</v>
      </c>
      <c r="D46" s="0" t="s">
        <v>127</v>
      </c>
      <c r="E46" s="0" t="n">
        <v>2</v>
      </c>
      <c r="F46" s="3" t="n">
        <v>0.6875</v>
      </c>
      <c r="G46" s="0" t="s">
        <v>192</v>
      </c>
      <c r="H46" s="0" t="s">
        <v>183</v>
      </c>
      <c r="I46" s="0" t="s">
        <v>130</v>
      </c>
      <c r="J46" s="0" t="s">
        <v>131</v>
      </c>
    </row>
    <row r="47" customFormat="false" ht="12.8" hidden="false" customHeight="false" outlineLevel="0" collapsed="false">
      <c r="A47" s="2" t="n">
        <v>46074</v>
      </c>
      <c r="B47" s="0" t="s">
        <v>191</v>
      </c>
      <c r="C47" s="0" t="s">
        <v>187</v>
      </c>
      <c r="D47" s="0" t="s">
        <v>127</v>
      </c>
      <c r="E47" s="0" t="n">
        <v>3</v>
      </c>
      <c r="F47" s="3" t="n">
        <v>0.604166666666667</v>
      </c>
      <c r="G47" s="0" t="s">
        <v>195</v>
      </c>
      <c r="H47" s="0" t="s">
        <v>183</v>
      </c>
      <c r="I47" s="0" t="s">
        <v>130</v>
      </c>
      <c r="J47" s="0" t="s">
        <v>131</v>
      </c>
    </row>
    <row r="48" customFormat="false" ht="12.8" hidden="false" customHeight="false" outlineLevel="0" collapsed="false">
      <c r="A48" s="2" t="n">
        <v>46074</v>
      </c>
      <c r="B48" s="0" t="s">
        <v>188</v>
      </c>
      <c r="C48" s="0" t="s">
        <v>180</v>
      </c>
      <c r="D48" s="0" t="s">
        <v>127</v>
      </c>
      <c r="E48" s="0" t="n">
        <v>3</v>
      </c>
      <c r="F48" s="3" t="n">
        <v>0.604166666666667</v>
      </c>
      <c r="G48" s="0" t="s">
        <v>196</v>
      </c>
      <c r="H48" s="0" t="s">
        <v>183</v>
      </c>
      <c r="I48" s="0" t="s">
        <v>130</v>
      </c>
      <c r="J48" s="0" t="s">
        <v>131</v>
      </c>
    </row>
    <row r="49" customFormat="false" ht="12.8" hidden="false" customHeight="false" outlineLevel="0" collapsed="false">
      <c r="A49" s="2" t="n">
        <v>46074</v>
      </c>
      <c r="B49" s="0" t="s">
        <v>194</v>
      </c>
      <c r="C49" s="0" t="s">
        <v>185</v>
      </c>
      <c r="D49" s="0" t="s">
        <v>127</v>
      </c>
      <c r="E49" s="0" t="n">
        <v>3</v>
      </c>
      <c r="F49" s="3" t="n">
        <v>0.645833333333333</v>
      </c>
      <c r="G49" s="0" t="s">
        <v>196</v>
      </c>
      <c r="H49" s="0" t="s">
        <v>183</v>
      </c>
      <c r="I49" s="0" t="s">
        <v>130</v>
      </c>
      <c r="J49" s="0" t="s">
        <v>131</v>
      </c>
    </row>
    <row r="50" customFormat="false" ht="12.8" hidden="false" customHeight="false" outlineLevel="0" collapsed="false">
      <c r="A50" s="2" t="n">
        <v>46074</v>
      </c>
      <c r="B50" s="0" t="s">
        <v>193</v>
      </c>
      <c r="C50" s="0" t="s">
        <v>190</v>
      </c>
      <c r="D50" s="0" t="s">
        <v>127</v>
      </c>
      <c r="E50" s="0" t="n">
        <v>3</v>
      </c>
      <c r="F50" s="3" t="n">
        <v>0.6875</v>
      </c>
      <c r="G50" s="0" t="s">
        <v>192</v>
      </c>
      <c r="H50" s="0" t="s">
        <v>183</v>
      </c>
      <c r="I50" s="0" t="s">
        <v>130</v>
      </c>
      <c r="J50" s="0" t="s">
        <v>131</v>
      </c>
    </row>
    <row r="51" customFormat="false" ht="12.8" hidden="false" customHeight="false" outlineLevel="0" collapsed="false">
      <c r="A51" s="2" t="n">
        <v>46075</v>
      </c>
      <c r="B51" s="0" t="s">
        <v>181</v>
      </c>
      <c r="C51" s="0" t="s">
        <v>184</v>
      </c>
      <c r="D51" s="0" t="s">
        <v>127</v>
      </c>
      <c r="E51" s="0" t="n">
        <v>3</v>
      </c>
      <c r="F51" s="3" t="n">
        <v>0.416666666666667</v>
      </c>
      <c r="G51" s="0" t="s">
        <v>197</v>
      </c>
      <c r="H51" s="0" t="s">
        <v>183</v>
      </c>
      <c r="I51" s="0" t="s">
        <v>130</v>
      </c>
      <c r="J51" s="0" t="s">
        <v>131</v>
      </c>
    </row>
    <row r="52" customFormat="false" ht="12.8" hidden="false" customHeight="false" outlineLevel="0" collapsed="false">
      <c r="A52" s="2" t="n">
        <v>46081</v>
      </c>
      <c r="B52" s="0" t="s">
        <v>184</v>
      </c>
      <c r="C52" s="0" t="s">
        <v>188</v>
      </c>
      <c r="D52" s="0" t="s">
        <v>127</v>
      </c>
      <c r="E52" s="0" t="n">
        <v>4</v>
      </c>
      <c r="F52" s="3" t="n">
        <v>0.604166666666667</v>
      </c>
      <c r="G52" s="0" t="s">
        <v>186</v>
      </c>
      <c r="H52" s="0" t="s">
        <v>183</v>
      </c>
      <c r="I52" s="0" t="s">
        <v>130</v>
      </c>
      <c r="J52" s="0" t="s">
        <v>131</v>
      </c>
    </row>
    <row r="53" customFormat="false" ht="12.8" hidden="false" customHeight="false" outlineLevel="0" collapsed="false">
      <c r="A53" s="2" t="n">
        <v>46081</v>
      </c>
      <c r="B53" s="0" t="s">
        <v>180</v>
      </c>
      <c r="C53" s="0" t="s">
        <v>191</v>
      </c>
      <c r="D53" s="0" t="s">
        <v>127</v>
      </c>
      <c r="E53" s="0" t="n">
        <v>4</v>
      </c>
      <c r="F53" s="3" t="n">
        <v>0.604166666666667</v>
      </c>
      <c r="G53" s="0" t="s">
        <v>182</v>
      </c>
      <c r="H53" s="0" t="s">
        <v>183</v>
      </c>
      <c r="I53" s="0" t="s">
        <v>130</v>
      </c>
      <c r="J53" s="0" t="s">
        <v>131</v>
      </c>
    </row>
    <row r="54" customFormat="false" ht="12.8" hidden="false" customHeight="false" outlineLevel="0" collapsed="false">
      <c r="A54" s="2" t="n">
        <v>46081</v>
      </c>
      <c r="B54" s="0" t="s">
        <v>187</v>
      </c>
      <c r="C54" s="0" t="s">
        <v>193</v>
      </c>
      <c r="D54" s="0" t="s">
        <v>127</v>
      </c>
      <c r="E54" s="0" t="n">
        <v>4</v>
      </c>
      <c r="F54" s="3" t="n">
        <v>0.625</v>
      </c>
      <c r="G54" s="0" t="s">
        <v>189</v>
      </c>
      <c r="H54" s="0" t="s">
        <v>183</v>
      </c>
      <c r="I54" s="0" t="s">
        <v>130</v>
      </c>
      <c r="J54" s="0" t="s">
        <v>131</v>
      </c>
    </row>
    <row r="55" customFormat="false" ht="12.8" hidden="false" customHeight="false" outlineLevel="0" collapsed="false">
      <c r="A55" s="2" t="n">
        <v>46081</v>
      </c>
      <c r="B55" s="0" t="s">
        <v>185</v>
      </c>
      <c r="C55" s="0" t="s">
        <v>181</v>
      </c>
      <c r="D55" s="0" t="s">
        <v>127</v>
      </c>
      <c r="E55" s="0" t="n">
        <v>4</v>
      </c>
      <c r="F55" s="3" t="n">
        <v>0.625</v>
      </c>
      <c r="G55" s="0" t="s">
        <v>198</v>
      </c>
      <c r="H55" s="0" t="s">
        <v>183</v>
      </c>
      <c r="I55" s="0" t="s">
        <v>130</v>
      </c>
      <c r="J55" s="0" t="s">
        <v>131</v>
      </c>
    </row>
    <row r="56" customFormat="false" ht="12.8" hidden="false" customHeight="false" outlineLevel="0" collapsed="false">
      <c r="A56" s="2" t="n">
        <v>46081</v>
      </c>
      <c r="B56" s="0" t="s">
        <v>190</v>
      </c>
      <c r="C56" s="0" t="s">
        <v>194</v>
      </c>
      <c r="D56" s="0" t="s">
        <v>127</v>
      </c>
      <c r="E56" s="0" t="n">
        <v>4</v>
      </c>
      <c r="F56" s="3" t="n">
        <v>0.645833333333333</v>
      </c>
      <c r="G56" s="0" t="s">
        <v>192</v>
      </c>
      <c r="H56" s="0" t="s">
        <v>183</v>
      </c>
      <c r="I56" s="0" t="s">
        <v>130</v>
      </c>
      <c r="J56" s="0" t="s">
        <v>131</v>
      </c>
    </row>
    <row r="57" customFormat="false" ht="12.8" hidden="false" customHeight="false" outlineLevel="0" collapsed="false">
      <c r="A57" s="2" t="n">
        <v>46088</v>
      </c>
      <c r="B57" s="0" t="s">
        <v>191</v>
      </c>
      <c r="C57" s="0" t="s">
        <v>184</v>
      </c>
      <c r="D57" s="0" t="s">
        <v>127</v>
      </c>
      <c r="E57" s="0" t="n">
        <v>5</v>
      </c>
      <c r="F57" s="3" t="n">
        <v>0.604166666666667</v>
      </c>
      <c r="G57" s="0" t="s">
        <v>195</v>
      </c>
      <c r="H57" s="0" t="s">
        <v>183</v>
      </c>
      <c r="I57" s="0" t="s">
        <v>130</v>
      </c>
      <c r="J57" s="0" t="s">
        <v>131</v>
      </c>
    </row>
    <row r="58" customFormat="false" ht="12.8" hidden="false" customHeight="false" outlineLevel="0" collapsed="false">
      <c r="A58" s="2" t="n">
        <v>46088</v>
      </c>
      <c r="B58" s="0" t="s">
        <v>188</v>
      </c>
      <c r="C58" s="0" t="s">
        <v>185</v>
      </c>
      <c r="D58" s="0" t="s">
        <v>127</v>
      </c>
      <c r="E58" s="0" t="n">
        <v>5</v>
      </c>
      <c r="F58" s="3" t="n">
        <v>0.604166666666667</v>
      </c>
      <c r="G58" s="0" t="s">
        <v>196</v>
      </c>
      <c r="H58" s="0" t="s">
        <v>183</v>
      </c>
      <c r="I58" s="0" t="s">
        <v>130</v>
      </c>
      <c r="J58" s="0" t="s">
        <v>131</v>
      </c>
    </row>
    <row r="59" customFormat="false" ht="12.8" hidden="false" customHeight="false" outlineLevel="0" collapsed="false">
      <c r="A59" s="2" t="n">
        <v>46088</v>
      </c>
      <c r="B59" s="0" t="s">
        <v>194</v>
      </c>
      <c r="C59" s="0" t="s">
        <v>181</v>
      </c>
      <c r="D59" s="0" t="s">
        <v>127</v>
      </c>
      <c r="E59" s="0" t="n">
        <v>5</v>
      </c>
      <c r="F59" s="3" t="n">
        <v>0.645833333333333</v>
      </c>
      <c r="G59" s="0" t="s">
        <v>196</v>
      </c>
      <c r="H59" s="0" t="s">
        <v>183</v>
      </c>
      <c r="I59" s="0" t="s">
        <v>130</v>
      </c>
      <c r="J59" s="0" t="s">
        <v>131</v>
      </c>
    </row>
    <row r="60" customFormat="false" ht="12.8" hidden="false" customHeight="false" outlineLevel="0" collapsed="false">
      <c r="A60" s="2" t="n">
        <v>46088</v>
      </c>
      <c r="B60" s="0" t="s">
        <v>190</v>
      </c>
      <c r="C60" s="0" t="s">
        <v>187</v>
      </c>
      <c r="D60" s="0" t="s">
        <v>127</v>
      </c>
      <c r="E60" s="0" t="n">
        <v>5</v>
      </c>
      <c r="F60" s="3" t="n">
        <v>0.645833333333333</v>
      </c>
      <c r="G60" s="0" t="s">
        <v>192</v>
      </c>
      <c r="H60" s="0" t="s">
        <v>183</v>
      </c>
      <c r="I60" s="0" t="s">
        <v>130</v>
      </c>
      <c r="J60" s="0" t="s">
        <v>131</v>
      </c>
    </row>
    <row r="61" customFormat="false" ht="12.8" hidden="false" customHeight="false" outlineLevel="0" collapsed="false">
      <c r="A61" s="2" t="n">
        <v>46088</v>
      </c>
      <c r="B61" s="0" t="s">
        <v>193</v>
      </c>
      <c r="C61" s="0" t="s">
        <v>180</v>
      </c>
      <c r="D61" s="0" t="s">
        <v>127</v>
      </c>
      <c r="E61" s="0" t="n">
        <v>5</v>
      </c>
      <c r="F61" s="3" t="n">
        <v>0.6875</v>
      </c>
      <c r="G61" s="0" t="s">
        <v>192</v>
      </c>
      <c r="H61" s="0" t="s">
        <v>183</v>
      </c>
      <c r="I61" s="0" t="s">
        <v>130</v>
      </c>
      <c r="J61" s="0" t="s">
        <v>131</v>
      </c>
    </row>
    <row r="62" customFormat="false" ht="12.8" hidden="false" customHeight="false" outlineLevel="0" collapsed="false">
      <c r="A62" s="2" t="n">
        <v>46095</v>
      </c>
      <c r="B62" s="0" t="s">
        <v>181</v>
      </c>
      <c r="C62" s="0" t="s">
        <v>188</v>
      </c>
      <c r="D62" s="0" t="s">
        <v>127</v>
      </c>
      <c r="E62" s="0" t="n">
        <v>6</v>
      </c>
      <c r="F62" s="3" t="n">
        <v>0.583333333333333</v>
      </c>
      <c r="G62" s="0" t="s">
        <v>197</v>
      </c>
      <c r="H62" s="0" t="s">
        <v>183</v>
      </c>
      <c r="I62" s="0" t="s">
        <v>130</v>
      </c>
      <c r="J62" s="0" t="s">
        <v>131</v>
      </c>
    </row>
    <row r="63" customFormat="false" ht="12.8" hidden="false" customHeight="false" outlineLevel="0" collapsed="false">
      <c r="A63" s="2" t="n">
        <v>46095</v>
      </c>
      <c r="B63" s="0" t="s">
        <v>184</v>
      </c>
      <c r="C63" s="0" t="s">
        <v>193</v>
      </c>
      <c r="D63" s="0" t="s">
        <v>127</v>
      </c>
      <c r="E63" s="0" t="n">
        <v>6</v>
      </c>
      <c r="F63" s="3" t="n">
        <v>0.604166666666667</v>
      </c>
      <c r="G63" s="0" t="s">
        <v>186</v>
      </c>
      <c r="H63" s="0" t="s">
        <v>183</v>
      </c>
      <c r="I63" s="0" t="s">
        <v>130</v>
      </c>
      <c r="J63" s="0" t="s">
        <v>131</v>
      </c>
    </row>
    <row r="64" customFormat="false" ht="12.8" hidden="false" customHeight="false" outlineLevel="0" collapsed="false">
      <c r="A64" s="2" t="n">
        <v>46095</v>
      </c>
      <c r="B64" s="0" t="s">
        <v>180</v>
      </c>
      <c r="C64" s="0" t="s">
        <v>190</v>
      </c>
      <c r="D64" s="0" t="s">
        <v>127</v>
      </c>
      <c r="E64" s="0" t="n">
        <v>6</v>
      </c>
      <c r="F64" s="3" t="n">
        <v>0.604166666666667</v>
      </c>
      <c r="G64" s="0" t="s">
        <v>182</v>
      </c>
      <c r="H64" s="0" t="s">
        <v>183</v>
      </c>
      <c r="I64" s="0" t="s">
        <v>130</v>
      </c>
      <c r="J64" s="0" t="s">
        <v>131</v>
      </c>
    </row>
    <row r="65" customFormat="false" ht="12.8" hidden="false" customHeight="false" outlineLevel="0" collapsed="false">
      <c r="A65" s="2" t="n">
        <v>46095</v>
      </c>
      <c r="B65" s="0" t="s">
        <v>187</v>
      </c>
      <c r="C65" s="0" t="s">
        <v>194</v>
      </c>
      <c r="D65" s="0" t="s">
        <v>127</v>
      </c>
      <c r="E65" s="0" t="n">
        <v>6</v>
      </c>
      <c r="F65" s="3" t="n">
        <v>0.625</v>
      </c>
      <c r="G65" s="0" t="s">
        <v>189</v>
      </c>
      <c r="H65" s="0" t="s">
        <v>183</v>
      </c>
      <c r="I65" s="0" t="s">
        <v>130</v>
      </c>
      <c r="J65" s="0" t="s">
        <v>131</v>
      </c>
    </row>
    <row r="66" customFormat="false" ht="12.8" hidden="false" customHeight="false" outlineLevel="0" collapsed="false">
      <c r="A66" s="2" t="n">
        <v>46095</v>
      </c>
      <c r="B66" s="0" t="s">
        <v>185</v>
      </c>
      <c r="C66" s="0" t="s">
        <v>191</v>
      </c>
      <c r="D66" s="0" t="s">
        <v>127</v>
      </c>
      <c r="E66" s="0" t="n">
        <v>6</v>
      </c>
      <c r="F66" s="3" t="n">
        <v>0.625</v>
      </c>
      <c r="G66" s="0" t="s">
        <v>198</v>
      </c>
      <c r="H66" s="0" t="s">
        <v>183</v>
      </c>
      <c r="I66" s="0" t="s">
        <v>130</v>
      </c>
      <c r="J66" s="0" t="s">
        <v>131</v>
      </c>
    </row>
    <row r="67" customFormat="false" ht="12.8" hidden="false" customHeight="false" outlineLevel="0" collapsed="false">
      <c r="A67" s="2" t="n">
        <v>46102</v>
      </c>
      <c r="B67" s="0" t="s">
        <v>191</v>
      </c>
      <c r="C67" s="0" t="s">
        <v>181</v>
      </c>
      <c r="D67" s="0" t="s">
        <v>127</v>
      </c>
      <c r="E67" s="0" t="n">
        <v>7</v>
      </c>
      <c r="F67" s="3" t="n">
        <v>0.604166666666667</v>
      </c>
      <c r="G67" s="0" t="s">
        <v>195</v>
      </c>
      <c r="H67" s="0" t="s">
        <v>183</v>
      </c>
      <c r="I67" s="0" t="s">
        <v>130</v>
      </c>
      <c r="J67" s="0" t="s">
        <v>131</v>
      </c>
    </row>
    <row r="68" customFormat="false" ht="12.8" hidden="false" customHeight="false" outlineLevel="0" collapsed="false">
      <c r="A68" s="2" t="n">
        <v>46102</v>
      </c>
      <c r="B68" s="0" t="s">
        <v>187</v>
      </c>
      <c r="C68" s="0" t="s">
        <v>180</v>
      </c>
      <c r="D68" s="0" t="s">
        <v>127</v>
      </c>
      <c r="E68" s="0" t="n">
        <v>7</v>
      </c>
      <c r="F68" s="3" t="n">
        <v>0.625</v>
      </c>
      <c r="G68" s="0" t="s">
        <v>189</v>
      </c>
      <c r="H68" s="0" t="s">
        <v>183</v>
      </c>
      <c r="I68" s="0" t="s">
        <v>130</v>
      </c>
      <c r="J68" s="0" t="s">
        <v>131</v>
      </c>
    </row>
    <row r="69" customFormat="false" ht="12.8" hidden="false" customHeight="false" outlineLevel="0" collapsed="false">
      <c r="A69" s="2" t="n">
        <v>46102</v>
      </c>
      <c r="B69" s="0" t="s">
        <v>190</v>
      </c>
      <c r="C69" s="0" t="s">
        <v>184</v>
      </c>
      <c r="D69" s="0" t="s">
        <v>127</v>
      </c>
      <c r="E69" s="0" t="n">
        <v>7</v>
      </c>
      <c r="F69" s="3" t="n">
        <v>0.645833333333333</v>
      </c>
      <c r="G69" s="0" t="s">
        <v>192</v>
      </c>
      <c r="H69" s="0" t="s">
        <v>183</v>
      </c>
      <c r="I69" s="0" t="s">
        <v>130</v>
      </c>
      <c r="J69" s="0" t="s">
        <v>131</v>
      </c>
    </row>
    <row r="70" customFormat="false" ht="12.8" hidden="false" customHeight="false" outlineLevel="0" collapsed="false">
      <c r="A70" s="2" t="n">
        <v>46102</v>
      </c>
      <c r="B70" s="0" t="s">
        <v>194</v>
      </c>
      <c r="C70" s="0" t="s">
        <v>188</v>
      </c>
      <c r="D70" s="0" t="s">
        <v>127</v>
      </c>
      <c r="E70" s="0" t="n">
        <v>7</v>
      </c>
      <c r="F70" s="3" t="n">
        <v>0.645833333333333</v>
      </c>
      <c r="G70" s="0" t="s">
        <v>196</v>
      </c>
      <c r="H70" s="0" t="s">
        <v>183</v>
      </c>
      <c r="I70" s="0" t="s">
        <v>130</v>
      </c>
      <c r="J70" s="0" t="s">
        <v>131</v>
      </c>
    </row>
    <row r="71" customFormat="false" ht="12.8" hidden="false" customHeight="false" outlineLevel="0" collapsed="false">
      <c r="A71" s="2" t="n">
        <v>46102</v>
      </c>
      <c r="B71" s="0" t="s">
        <v>193</v>
      </c>
      <c r="C71" s="0" t="s">
        <v>185</v>
      </c>
      <c r="D71" s="0" t="s">
        <v>127</v>
      </c>
      <c r="E71" s="0" t="n">
        <v>7</v>
      </c>
      <c r="F71" s="3" t="n">
        <v>0.6875</v>
      </c>
      <c r="G71" s="0" t="s">
        <v>192</v>
      </c>
      <c r="H71" s="0" t="s">
        <v>183</v>
      </c>
      <c r="I71" s="0" t="s">
        <v>130</v>
      </c>
      <c r="J71" s="0" t="s">
        <v>131</v>
      </c>
    </row>
    <row r="72" customFormat="false" ht="12.8" hidden="false" customHeight="false" outlineLevel="0" collapsed="false">
      <c r="A72" s="2" t="n">
        <v>46109</v>
      </c>
      <c r="B72" s="0" t="s">
        <v>181</v>
      </c>
      <c r="C72" s="0" t="s">
        <v>193</v>
      </c>
      <c r="D72" s="0" t="s">
        <v>127</v>
      </c>
      <c r="E72" s="0" t="n">
        <v>8</v>
      </c>
      <c r="F72" s="3" t="n">
        <v>0.583333333333333</v>
      </c>
      <c r="G72" s="0" t="s">
        <v>197</v>
      </c>
      <c r="H72" s="0" t="s">
        <v>183</v>
      </c>
      <c r="I72" s="0" t="s">
        <v>130</v>
      </c>
      <c r="J72" s="0" t="s">
        <v>131</v>
      </c>
    </row>
    <row r="73" customFormat="false" ht="12.8" hidden="false" customHeight="false" outlineLevel="0" collapsed="false">
      <c r="A73" s="2" t="n">
        <v>46109</v>
      </c>
      <c r="B73" s="0" t="s">
        <v>184</v>
      </c>
      <c r="C73" s="0" t="s">
        <v>187</v>
      </c>
      <c r="D73" s="0" t="s">
        <v>127</v>
      </c>
      <c r="E73" s="0" t="n">
        <v>8</v>
      </c>
      <c r="F73" s="3" t="n">
        <v>0.604166666666667</v>
      </c>
      <c r="G73" s="0" t="s">
        <v>186</v>
      </c>
      <c r="H73" s="0" t="s">
        <v>183</v>
      </c>
      <c r="I73" s="0" t="s">
        <v>130</v>
      </c>
      <c r="J73" s="0" t="s">
        <v>131</v>
      </c>
    </row>
    <row r="74" customFormat="false" ht="12.8" hidden="false" customHeight="false" outlineLevel="0" collapsed="false">
      <c r="A74" s="2" t="n">
        <v>46109</v>
      </c>
      <c r="B74" s="0" t="s">
        <v>188</v>
      </c>
      <c r="C74" s="0" t="s">
        <v>191</v>
      </c>
      <c r="D74" s="0" t="s">
        <v>127</v>
      </c>
      <c r="E74" s="0" t="n">
        <v>8</v>
      </c>
      <c r="F74" s="3" t="n">
        <v>0.604166666666667</v>
      </c>
      <c r="G74" s="0" t="s">
        <v>196</v>
      </c>
      <c r="H74" s="0" t="s">
        <v>183</v>
      </c>
      <c r="I74" s="0" t="s">
        <v>130</v>
      </c>
      <c r="J74" s="0" t="s">
        <v>131</v>
      </c>
    </row>
    <row r="75" customFormat="false" ht="12.8" hidden="false" customHeight="false" outlineLevel="0" collapsed="false">
      <c r="A75" s="2" t="n">
        <v>46109</v>
      </c>
      <c r="B75" s="0" t="s">
        <v>185</v>
      </c>
      <c r="C75" s="0" t="s">
        <v>190</v>
      </c>
      <c r="D75" s="0" t="s">
        <v>127</v>
      </c>
      <c r="E75" s="0" t="n">
        <v>8</v>
      </c>
      <c r="F75" s="3" t="n">
        <v>0.625</v>
      </c>
      <c r="G75" s="0" t="s">
        <v>198</v>
      </c>
      <c r="H75" s="0" t="s">
        <v>183</v>
      </c>
      <c r="I75" s="0" t="s">
        <v>130</v>
      </c>
      <c r="J75" s="0" t="s">
        <v>131</v>
      </c>
    </row>
    <row r="76" customFormat="false" ht="12.8" hidden="false" customHeight="false" outlineLevel="0" collapsed="false">
      <c r="A76" s="2" t="n">
        <v>46109</v>
      </c>
      <c r="B76" s="0" t="s">
        <v>194</v>
      </c>
      <c r="C76" s="0" t="s">
        <v>180</v>
      </c>
      <c r="D76" s="0" t="s">
        <v>127</v>
      </c>
      <c r="E76" s="0" t="n">
        <v>8</v>
      </c>
      <c r="F76" s="3" t="n">
        <v>0.645833333333333</v>
      </c>
      <c r="G76" s="0" t="s">
        <v>196</v>
      </c>
      <c r="H76" s="0" t="s">
        <v>183</v>
      </c>
      <c r="I76" s="0" t="s">
        <v>130</v>
      </c>
      <c r="J76" s="0" t="s">
        <v>131</v>
      </c>
    </row>
    <row r="77" customFormat="false" ht="12.8" hidden="false" customHeight="false" outlineLevel="0" collapsed="false">
      <c r="A77" s="2" t="n">
        <v>46123</v>
      </c>
      <c r="B77" s="0" t="s">
        <v>191</v>
      </c>
      <c r="C77" s="0" t="s">
        <v>194</v>
      </c>
      <c r="D77" s="0" t="s">
        <v>127</v>
      </c>
      <c r="E77" s="0" t="n">
        <v>9</v>
      </c>
      <c r="F77" s="3" t="n">
        <v>0.604166666666667</v>
      </c>
      <c r="G77" s="0" t="s">
        <v>195</v>
      </c>
      <c r="H77" s="0" t="s">
        <v>183</v>
      </c>
      <c r="I77" s="0" t="s">
        <v>130</v>
      </c>
      <c r="J77" s="0" t="s">
        <v>131</v>
      </c>
    </row>
    <row r="78" customFormat="false" ht="12.8" hidden="false" customHeight="false" outlineLevel="0" collapsed="false">
      <c r="A78" s="2" t="n">
        <v>46123</v>
      </c>
      <c r="B78" s="0" t="s">
        <v>180</v>
      </c>
      <c r="C78" s="0" t="s">
        <v>184</v>
      </c>
      <c r="D78" s="0" t="s">
        <v>127</v>
      </c>
      <c r="E78" s="0" t="n">
        <v>9</v>
      </c>
      <c r="F78" s="3" t="n">
        <v>0.604166666666667</v>
      </c>
      <c r="G78" s="0" t="s">
        <v>182</v>
      </c>
      <c r="H78" s="0" t="s">
        <v>183</v>
      </c>
      <c r="I78" s="0" t="s">
        <v>130</v>
      </c>
      <c r="J78" s="0" t="s">
        <v>131</v>
      </c>
    </row>
    <row r="79" customFormat="false" ht="12.8" hidden="false" customHeight="false" outlineLevel="0" collapsed="false">
      <c r="A79" s="2" t="n">
        <v>46123</v>
      </c>
      <c r="B79" s="0" t="s">
        <v>187</v>
      </c>
      <c r="C79" s="0" t="s">
        <v>185</v>
      </c>
      <c r="D79" s="0" t="s">
        <v>127</v>
      </c>
      <c r="E79" s="0" t="n">
        <v>9</v>
      </c>
      <c r="F79" s="3" t="n">
        <v>0.625</v>
      </c>
      <c r="G79" s="0" t="s">
        <v>189</v>
      </c>
      <c r="H79" s="0" t="s">
        <v>183</v>
      </c>
      <c r="I79" s="0" t="s">
        <v>130</v>
      </c>
      <c r="J79" s="0" t="s">
        <v>131</v>
      </c>
    </row>
    <row r="80" customFormat="false" ht="12.8" hidden="false" customHeight="false" outlineLevel="0" collapsed="false">
      <c r="A80" s="2" t="n">
        <v>46123</v>
      </c>
      <c r="B80" s="0" t="s">
        <v>190</v>
      </c>
      <c r="C80" s="0" t="s">
        <v>181</v>
      </c>
      <c r="D80" s="0" t="s">
        <v>127</v>
      </c>
      <c r="E80" s="0" t="n">
        <v>9</v>
      </c>
      <c r="F80" s="3" t="n">
        <v>0.645833333333333</v>
      </c>
      <c r="G80" s="0" t="s">
        <v>192</v>
      </c>
      <c r="H80" s="0" t="s">
        <v>183</v>
      </c>
      <c r="I80" s="0" t="s">
        <v>130</v>
      </c>
      <c r="J80" s="0" t="s">
        <v>131</v>
      </c>
    </row>
    <row r="81" customFormat="false" ht="12.8" hidden="false" customHeight="false" outlineLevel="0" collapsed="false">
      <c r="A81" s="2" t="n">
        <v>46123</v>
      </c>
      <c r="B81" s="0" t="s">
        <v>193</v>
      </c>
      <c r="C81" s="0" t="s">
        <v>188</v>
      </c>
      <c r="D81" s="0" t="s">
        <v>127</v>
      </c>
      <c r="E81" s="0" t="n">
        <v>9</v>
      </c>
      <c r="F81" s="3" t="n">
        <v>0.6875</v>
      </c>
      <c r="G81" s="0" t="s">
        <v>192</v>
      </c>
      <c r="H81" s="0" t="s">
        <v>183</v>
      </c>
      <c r="I81" s="0" t="s">
        <v>130</v>
      </c>
      <c r="J81" s="0" t="s">
        <v>199</v>
      </c>
    </row>
    <row r="82" customFormat="false" ht="12.8" hidden="false" customHeight="false" outlineLevel="0" collapsed="false">
      <c r="A82" s="2" t="n">
        <v>46067</v>
      </c>
      <c r="B82" s="0" t="s">
        <v>200</v>
      </c>
      <c r="C82" s="0" t="s">
        <v>201</v>
      </c>
      <c r="D82" s="0" t="s">
        <v>127</v>
      </c>
      <c r="E82" s="0" t="n">
        <v>2</v>
      </c>
      <c r="F82" s="3" t="n">
        <v>0.604166666666667</v>
      </c>
      <c r="G82" s="0" t="s">
        <v>202</v>
      </c>
      <c r="H82" s="0" t="s">
        <v>203</v>
      </c>
      <c r="I82" s="0" t="s">
        <v>204</v>
      </c>
      <c r="J82" s="0" t="s">
        <v>205</v>
      </c>
    </row>
    <row r="83" customFormat="false" ht="12.8" hidden="false" customHeight="false" outlineLevel="0" collapsed="false">
      <c r="A83" s="2" t="n">
        <v>46067</v>
      </c>
      <c r="B83" s="0" t="s">
        <v>116</v>
      </c>
      <c r="C83" s="0" t="s">
        <v>206</v>
      </c>
      <c r="D83" s="0" t="s">
        <v>127</v>
      </c>
      <c r="E83" s="0" t="n">
        <v>2</v>
      </c>
      <c r="F83" s="3" t="n">
        <v>0.604166666666667</v>
      </c>
      <c r="G83" s="0" t="s">
        <v>207</v>
      </c>
      <c r="H83" s="0" t="s">
        <v>203</v>
      </c>
      <c r="I83" s="0" t="s">
        <v>204</v>
      </c>
      <c r="J83" s="0" t="s">
        <v>205</v>
      </c>
    </row>
    <row r="84" customFormat="false" ht="12.8" hidden="false" customHeight="false" outlineLevel="0" collapsed="false">
      <c r="A84" s="2" t="n">
        <v>46067</v>
      </c>
      <c r="B84" s="0" t="s">
        <v>23</v>
      </c>
      <c r="C84" s="0" t="s">
        <v>208</v>
      </c>
      <c r="D84" s="0" t="s">
        <v>127</v>
      </c>
      <c r="E84" s="0" t="n">
        <v>2</v>
      </c>
      <c r="F84" s="3" t="n">
        <v>0.625</v>
      </c>
      <c r="G84" s="0" t="s">
        <v>209</v>
      </c>
      <c r="H84" s="0" t="s">
        <v>203</v>
      </c>
      <c r="I84" s="0" t="s">
        <v>204</v>
      </c>
      <c r="J84" s="0" t="s">
        <v>205</v>
      </c>
    </row>
    <row r="85" customFormat="false" ht="12.8" hidden="false" customHeight="false" outlineLevel="0" collapsed="false">
      <c r="A85" s="2" t="n">
        <v>46067</v>
      </c>
      <c r="B85" s="0" t="s">
        <v>19</v>
      </c>
      <c r="C85" s="0" t="s">
        <v>210</v>
      </c>
      <c r="D85" s="0" t="s">
        <v>127</v>
      </c>
      <c r="E85" s="0" t="n">
        <v>2</v>
      </c>
      <c r="F85" s="3" t="n">
        <v>0.666666666666667</v>
      </c>
      <c r="G85" s="0" t="s">
        <v>209</v>
      </c>
      <c r="H85" s="0" t="s">
        <v>203</v>
      </c>
      <c r="I85" s="0" t="s">
        <v>204</v>
      </c>
      <c r="J85" s="0" t="s">
        <v>205</v>
      </c>
    </row>
    <row r="86" customFormat="false" ht="12.8" hidden="false" customHeight="false" outlineLevel="0" collapsed="false">
      <c r="A86" s="2" t="n">
        <v>46067</v>
      </c>
      <c r="B86" s="0" t="s">
        <v>211</v>
      </c>
      <c r="C86" s="0" t="s">
        <v>26</v>
      </c>
      <c r="D86" s="0" t="s">
        <v>127</v>
      </c>
      <c r="E86" s="0" t="n">
        <v>2</v>
      </c>
      <c r="F86" s="3" t="n">
        <v>0.677083333333333</v>
      </c>
      <c r="G86" s="0" t="s">
        <v>212</v>
      </c>
      <c r="H86" s="0" t="s">
        <v>203</v>
      </c>
      <c r="I86" s="0" t="s">
        <v>204</v>
      </c>
      <c r="J86" s="0" t="s">
        <v>205</v>
      </c>
    </row>
    <row r="87" customFormat="false" ht="12.8" hidden="false" customHeight="false" outlineLevel="0" collapsed="false">
      <c r="A87" s="2" t="n">
        <v>46074</v>
      </c>
      <c r="B87" s="0" t="s">
        <v>116</v>
      </c>
      <c r="C87" s="0" t="s">
        <v>23</v>
      </c>
      <c r="D87" s="0" t="s">
        <v>127</v>
      </c>
      <c r="E87" s="0" t="n">
        <v>3</v>
      </c>
      <c r="F87" s="3" t="n">
        <v>0.604166666666667</v>
      </c>
      <c r="G87" s="0" t="s">
        <v>207</v>
      </c>
      <c r="H87" s="0" t="s">
        <v>203</v>
      </c>
      <c r="I87" s="0" t="s">
        <v>204</v>
      </c>
      <c r="J87" s="0" t="s">
        <v>205</v>
      </c>
    </row>
    <row r="88" customFormat="false" ht="12.8" hidden="false" customHeight="false" outlineLevel="0" collapsed="false">
      <c r="A88" s="2" t="n">
        <v>46074</v>
      </c>
      <c r="B88" s="0" t="s">
        <v>208</v>
      </c>
      <c r="C88" s="0" t="s">
        <v>19</v>
      </c>
      <c r="D88" s="0" t="s">
        <v>127</v>
      </c>
      <c r="E88" s="0" t="n">
        <v>3</v>
      </c>
      <c r="F88" s="3" t="n">
        <v>0.604166666666667</v>
      </c>
      <c r="G88" s="0" t="s">
        <v>213</v>
      </c>
      <c r="H88" s="0" t="s">
        <v>203</v>
      </c>
      <c r="I88" s="0" t="s">
        <v>204</v>
      </c>
      <c r="J88" s="0" t="s">
        <v>205</v>
      </c>
    </row>
    <row r="89" customFormat="false" ht="12.8" hidden="false" customHeight="false" outlineLevel="0" collapsed="false">
      <c r="A89" s="2" t="n">
        <v>46074</v>
      </c>
      <c r="B89" s="0" t="s">
        <v>206</v>
      </c>
      <c r="C89" s="0" t="s">
        <v>26</v>
      </c>
      <c r="D89" s="0" t="s">
        <v>127</v>
      </c>
      <c r="E89" s="0" t="n">
        <v>3</v>
      </c>
      <c r="F89" s="3" t="n">
        <v>0.604166666666667</v>
      </c>
      <c r="G89" s="0" t="s">
        <v>214</v>
      </c>
      <c r="H89" s="0" t="s">
        <v>203</v>
      </c>
      <c r="I89" s="0" t="s">
        <v>204</v>
      </c>
      <c r="J89" s="0" t="s">
        <v>205</v>
      </c>
    </row>
    <row r="90" customFormat="false" ht="12.8" hidden="false" customHeight="false" outlineLevel="0" collapsed="false">
      <c r="A90" s="2" t="n">
        <v>46074</v>
      </c>
      <c r="B90" s="0" t="s">
        <v>210</v>
      </c>
      <c r="C90" s="0" t="s">
        <v>200</v>
      </c>
      <c r="D90" s="0" t="s">
        <v>127</v>
      </c>
      <c r="E90" s="0" t="n">
        <v>3</v>
      </c>
      <c r="F90" s="3" t="n">
        <v>0.625</v>
      </c>
      <c r="G90" s="0" t="s">
        <v>215</v>
      </c>
      <c r="H90" s="0" t="s">
        <v>203</v>
      </c>
      <c r="I90" s="0" t="s">
        <v>204</v>
      </c>
      <c r="J90" s="0" t="s">
        <v>205</v>
      </c>
    </row>
    <row r="91" customFormat="false" ht="12.8" hidden="false" customHeight="false" outlineLevel="0" collapsed="false">
      <c r="A91" s="2" t="n">
        <v>46074</v>
      </c>
      <c r="B91" s="0" t="s">
        <v>201</v>
      </c>
      <c r="C91" s="0" t="s">
        <v>211</v>
      </c>
      <c r="D91" s="0" t="s">
        <v>127</v>
      </c>
      <c r="E91" s="0" t="n">
        <v>3</v>
      </c>
      <c r="F91" s="3" t="n">
        <v>0.625</v>
      </c>
      <c r="G91" s="0" t="s">
        <v>216</v>
      </c>
      <c r="H91" s="0" t="s">
        <v>203</v>
      </c>
      <c r="I91" s="0" t="s">
        <v>204</v>
      </c>
      <c r="J91" s="0" t="s">
        <v>205</v>
      </c>
    </row>
    <row r="92" customFormat="false" ht="12.8" hidden="false" customHeight="false" outlineLevel="0" collapsed="false">
      <c r="A92" s="2" t="n">
        <v>46081</v>
      </c>
      <c r="B92" s="0" t="s">
        <v>26</v>
      </c>
      <c r="C92" s="0" t="s">
        <v>201</v>
      </c>
      <c r="D92" s="0" t="s">
        <v>127</v>
      </c>
      <c r="E92" s="0" t="n">
        <v>4</v>
      </c>
      <c r="F92" s="3" t="n">
        <v>0.604166666666667</v>
      </c>
      <c r="G92" s="0" t="s">
        <v>217</v>
      </c>
      <c r="H92" s="0" t="s">
        <v>203</v>
      </c>
      <c r="I92" s="0" t="s">
        <v>204</v>
      </c>
      <c r="J92" s="0" t="s">
        <v>205</v>
      </c>
    </row>
    <row r="93" customFormat="false" ht="12.8" hidden="false" customHeight="false" outlineLevel="0" collapsed="false">
      <c r="A93" s="2" t="n">
        <v>46081</v>
      </c>
      <c r="B93" s="0" t="s">
        <v>200</v>
      </c>
      <c r="C93" s="0" t="s">
        <v>208</v>
      </c>
      <c r="D93" s="0" t="s">
        <v>127</v>
      </c>
      <c r="E93" s="0" t="n">
        <v>4</v>
      </c>
      <c r="F93" s="3" t="n">
        <v>0.604166666666667</v>
      </c>
      <c r="G93" s="0" t="s">
        <v>202</v>
      </c>
      <c r="H93" s="0" t="s">
        <v>203</v>
      </c>
      <c r="I93" s="0" t="s">
        <v>204</v>
      </c>
      <c r="J93" s="0" t="s">
        <v>205</v>
      </c>
    </row>
    <row r="94" customFormat="false" ht="12.8" hidden="false" customHeight="false" outlineLevel="0" collapsed="false">
      <c r="A94" s="2" t="n">
        <v>46081</v>
      </c>
      <c r="B94" s="0" t="s">
        <v>23</v>
      </c>
      <c r="C94" s="0" t="s">
        <v>206</v>
      </c>
      <c r="D94" s="0" t="s">
        <v>127</v>
      </c>
      <c r="E94" s="0" t="n">
        <v>4</v>
      </c>
      <c r="F94" s="3" t="n">
        <v>0.625</v>
      </c>
      <c r="G94" s="0" t="s">
        <v>209</v>
      </c>
      <c r="H94" s="0" t="s">
        <v>203</v>
      </c>
      <c r="I94" s="0" t="s">
        <v>204</v>
      </c>
      <c r="J94" s="0" t="s">
        <v>205</v>
      </c>
    </row>
    <row r="95" customFormat="false" ht="12.8" hidden="false" customHeight="false" outlineLevel="0" collapsed="false">
      <c r="A95" s="2" t="n">
        <v>46081</v>
      </c>
      <c r="B95" s="0" t="s">
        <v>19</v>
      </c>
      <c r="C95" s="0" t="s">
        <v>116</v>
      </c>
      <c r="D95" s="0" t="s">
        <v>127</v>
      </c>
      <c r="E95" s="0" t="n">
        <v>4</v>
      </c>
      <c r="F95" s="3" t="n">
        <v>0.666666666666667</v>
      </c>
      <c r="G95" s="0" t="s">
        <v>209</v>
      </c>
      <c r="H95" s="0" t="s">
        <v>203</v>
      </c>
      <c r="I95" s="0" t="s">
        <v>204</v>
      </c>
      <c r="J95" s="0" t="s">
        <v>205</v>
      </c>
    </row>
    <row r="96" customFormat="false" ht="12.8" hidden="false" customHeight="false" outlineLevel="0" collapsed="false">
      <c r="A96" s="2" t="n">
        <v>46081</v>
      </c>
      <c r="B96" s="0" t="s">
        <v>211</v>
      </c>
      <c r="C96" s="0" t="s">
        <v>210</v>
      </c>
      <c r="D96" s="0" t="s">
        <v>127</v>
      </c>
      <c r="E96" s="0" t="n">
        <v>4</v>
      </c>
      <c r="F96" s="3" t="n">
        <v>0.708333333333333</v>
      </c>
      <c r="G96" s="0" t="s">
        <v>212</v>
      </c>
      <c r="H96" s="0" t="s">
        <v>203</v>
      </c>
      <c r="I96" s="0" t="s">
        <v>204</v>
      </c>
      <c r="J96" s="0" t="s">
        <v>205</v>
      </c>
    </row>
    <row r="97" customFormat="false" ht="12.8" hidden="false" customHeight="false" outlineLevel="0" collapsed="false">
      <c r="A97" s="2" t="n">
        <v>46088</v>
      </c>
      <c r="B97" s="0" t="s">
        <v>116</v>
      </c>
      <c r="C97" s="0" t="s">
        <v>200</v>
      </c>
      <c r="D97" s="0" t="s">
        <v>127</v>
      </c>
      <c r="E97" s="0" t="n">
        <v>5</v>
      </c>
      <c r="F97" s="3" t="n">
        <v>0.604166666666667</v>
      </c>
      <c r="G97" s="0" t="s">
        <v>207</v>
      </c>
      <c r="H97" s="0" t="s">
        <v>203</v>
      </c>
      <c r="I97" s="0" t="s">
        <v>204</v>
      </c>
      <c r="J97" s="0" t="s">
        <v>205</v>
      </c>
    </row>
    <row r="98" customFormat="false" ht="12.8" hidden="false" customHeight="false" outlineLevel="0" collapsed="false">
      <c r="A98" s="2" t="n">
        <v>46088</v>
      </c>
      <c r="B98" s="0" t="s">
        <v>208</v>
      </c>
      <c r="C98" s="0" t="s">
        <v>211</v>
      </c>
      <c r="D98" s="0" t="s">
        <v>127</v>
      </c>
      <c r="E98" s="0" t="n">
        <v>5</v>
      </c>
      <c r="F98" s="3" t="n">
        <v>0.604166666666667</v>
      </c>
      <c r="G98" s="0" t="s">
        <v>213</v>
      </c>
      <c r="H98" s="0" t="s">
        <v>203</v>
      </c>
      <c r="I98" s="0" t="s">
        <v>204</v>
      </c>
      <c r="J98" s="0" t="s">
        <v>205</v>
      </c>
    </row>
    <row r="99" customFormat="false" ht="12.8" hidden="false" customHeight="false" outlineLevel="0" collapsed="false">
      <c r="A99" s="2" t="n">
        <v>46088</v>
      </c>
      <c r="B99" s="0" t="s">
        <v>206</v>
      </c>
      <c r="C99" s="0" t="s">
        <v>201</v>
      </c>
      <c r="D99" s="0" t="s">
        <v>127</v>
      </c>
      <c r="E99" s="0" t="n">
        <v>5</v>
      </c>
      <c r="F99" s="3" t="n">
        <v>0.604166666666667</v>
      </c>
      <c r="G99" s="0" t="s">
        <v>214</v>
      </c>
      <c r="H99" s="0" t="s">
        <v>203</v>
      </c>
      <c r="I99" s="0" t="s">
        <v>204</v>
      </c>
      <c r="J99" s="0" t="s">
        <v>205</v>
      </c>
    </row>
    <row r="100" customFormat="false" ht="12.8" hidden="false" customHeight="false" outlineLevel="0" collapsed="false">
      <c r="A100" s="2" t="n">
        <v>46088</v>
      </c>
      <c r="B100" s="0" t="s">
        <v>210</v>
      </c>
      <c r="C100" s="0" t="s">
        <v>26</v>
      </c>
      <c r="D100" s="0" t="s">
        <v>127</v>
      </c>
      <c r="E100" s="0" t="n">
        <v>5</v>
      </c>
      <c r="F100" s="3" t="n">
        <v>0.625</v>
      </c>
      <c r="G100" s="0" t="s">
        <v>215</v>
      </c>
      <c r="H100" s="0" t="s">
        <v>203</v>
      </c>
      <c r="I100" s="0" t="s">
        <v>204</v>
      </c>
      <c r="J100" s="0" t="s">
        <v>205</v>
      </c>
    </row>
    <row r="101" customFormat="false" ht="12.8" hidden="false" customHeight="false" outlineLevel="0" collapsed="false">
      <c r="A101" s="2" t="n">
        <v>46088</v>
      </c>
      <c r="B101" s="0" t="s">
        <v>23</v>
      </c>
      <c r="C101" s="0" t="s">
        <v>19</v>
      </c>
      <c r="D101" s="0" t="s">
        <v>127</v>
      </c>
      <c r="E101" s="0" t="n">
        <v>5</v>
      </c>
      <c r="F101" s="3" t="n">
        <v>0.625</v>
      </c>
      <c r="G101" s="0" t="s">
        <v>209</v>
      </c>
      <c r="H101" s="0" t="s">
        <v>203</v>
      </c>
      <c r="I101" s="0" t="s">
        <v>204</v>
      </c>
      <c r="J101" s="0" t="s">
        <v>205</v>
      </c>
    </row>
    <row r="102" customFormat="false" ht="12.8" hidden="false" customHeight="false" outlineLevel="0" collapsed="false">
      <c r="A102" s="2" t="n">
        <v>46095</v>
      </c>
      <c r="B102" s="0" t="s">
        <v>26</v>
      </c>
      <c r="C102" s="0" t="s">
        <v>208</v>
      </c>
      <c r="D102" s="0" t="s">
        <v>127</v>
      </c>
      <c r="E102" s="0" t="n">
        <v>6</v>
      </c>
      <c r="F102" s="3" t="n">
        <v>0.604166666666667</v>
      </c>
      <c r="G102" s="0" t="s">
        <v>217</v>
      </c>
      <c r="H102" s="0" t="s">
        <v>203</v>
      </c>
      <c r="I102" s="0" t="s">
        <v>204</v>
      </c>
      <c r="J102" s="0" t="s">
        <v>205</v>
      </c>
    </row>
    <row r="103" customFormat="false" ht="12.8" hidden="false" customHeight="false" outlineLevel="0" collapsed="false">
      <c r="A103" s="2" t="n">
        <v>46095</v>
      </c>
      <c r="B103" s="0" t="s">
        <v>200</v>
      </c>
      <c r="C103" s="0" t="s">
        <v>23</v>
      </c>
      <c r="D103" s="0" t="s">
        <v>127</v>
      </c>
      <c r="E103" s="0" t="n">
        <v>6</v>
      </c>
      <c r="F103" s="3" t="n">
        <v>0.604166666666667</v>
      </c>
      <c r="G103" s="0" t="s">
        <v>202</v>
      </c>
      <c r="H103" s="0" t="s">
        <v>203</v>
      </c>
      <c r="I103" s="0" t="s">
        <v>204</v>
      </c>
      <c r="J103" s="0" t="s">
        <v>205</v>
      </c>
    </row>
    <row r="104" customFormat="false" ht="12.8" hidden="false" customHeight="false" outlineLevel="0" collapsed="false">
      <c r="A104" s="2" t="n">
        <v>46095</v>
      </c>
      <c r="B104" s="0" t="s">
        <v>201</v>
      </c>
      <c r="C104" s="0" t="s">
        <v>210</v>
      </c>
      <c r="D104" s="0" t="s">
        <v>127</v>
      </c>
      <c r="E104" s="0" t="n">
        <v>6</v>
      </c>
      <c r="F104" s="3" t="n">
        <v>0.625</v>
      </c>
      <c r="G104" s="0" t="s">
        <v>216</v>
      </c>
      <c r="H104" s="0" t="s">
        <v>203</v>
      </c>
      <c r="I104" s="0" t="s">
        <v>204</v>
      </c>
      <c r="J104" s="0" t="s">
        <v>205</v>
      </c>
    </row>
    <row r="105" customFormat="false" ht="12.8" hidden="false" customHeight="false" outlineLevel="0" collapsed="false">
      <c r="A105" s="2" t="n">
        <v>46095</v>
      </c>
      <c r="B105" s="0" t="s">
        <v>19</v>
      </c>
      <c r="C105" s="0" t="s">
        <v>206</v>
      </c>
      <c r="D105" s="0" t="s">
        <v>127</v>
      </c>
      <c r="E105" s="0" t="n">
        <v>6</v>
      </c>
      <c r="F105" s="3" t="n">
        <v>0.666666666666667</v>
      </c>
      <c r="G105" s="0" t="s">
        <v>209</v>
      </c>
      <c r="H105" s="0" t="s">
        <v>203</v>
      </c>
      <c r="I105" s="0" t="s">
        <v>204</v>
      </c>
      <c r="J105" s="0" t="s">
        <v>205</v>
      </c>
    </row>
    <row r="106" customFormat="false" ht="12.8" hidden="false" customHeight="false" outlineLevel="0" collapsed="false">
      <c r="A106" s="2" t="n">
        <v>46095</v>
      </c>
      <c r="B106" s="0" t="s">
        <v>211</v>
      </c>
      <c r="C106" s="0" t="s">
        <v>116</v>
      </c>
      <c r="D106" s="0" t="s">
        <v>127</v>
      </c>
      <c r="E106" s="0" t="n">
        <v>6</v>
      </c>
      <c r="F106" s="3" t="n">
        <v>0.708333333333333</v>
      </c>
      <c r="G106" s="0" t="s">
        <v>212</v>
      </c>
      <c r="H106" s="0" t="s">
        <v>203</v>
      </c>
      <c r="I106" s="0" t="s">
        <v>204</v>
      </c>
      <c r="J106" s="0" t="s">
        <v>205</v>
      </c>
    </row>
    <row r="107" customFormat="false" ht="12.8" hidden="false" customHeight="false" outlineLevel="0" collapsed="false">
      <c r="A107" s="2" t="n">
        <v>46102</v>
      </c>
      <c r="B107" s="0" t="s">
        <v>116</v>
      </c>
      <c r="C107" s="0" t="s">
        <v>26</v>
      </c>
      <c r="D107" s="0" t="s">
        <v>127</v>
      </c>
      <c r="E107" s="0" t="n">
        <v>7</v>
      </c>
      <c r="F107" s="3" t="n">
        <v>0.604166666666667</v>
      </c>
      <c r="G107" s="0" t="s">
        <v>207</v>
      </c>
      <c r="H107" s="0" t="s">
        <v>203</v>
      </c>
      <c r="I107" s="0" t="s">
        <v>204</v>
      </c>
      <c r="J107" s="0" t="s">
        <v>205</v>
      </c>
    </row>
    <row r="108" customFormat="false" ht="12.8" hidden="false" customHeight="false" outlineLevel="0" collapsed="false">
      <c r="A108" s="2" t="n">
        <v>46102</v>
      </c>
      <c r="B108" s="0" t="s">
        <v>208</v>
      </c>
      <c r="C108" s="0" t="s">
        <v>201</v>
      </c>
      <c r="D108" s="0" t="s">
        <v>127</v>
      </c>
      <c r="E108" s="0" t="n">
        <v>7</v>
      </c>
      <c r="F108" s="3" t="n">
        <v>0.604166666666667</v>
      </c>
      <c r="G108" s="0" t="s">
        <v>213</v>
      </c>
      <c r="H108" s="0" t="s">
        <v>203</v>
      </c>
      <c r="I108" s="0" t="s">
        <v>204</v>
      </c>
      <c r="J108" s="0" t="s">
        <v>205</v>
      </c>
    </row>
    <row r="109" customFormat="false" ht="12.8" hidden="false" customHeight="false" outlineLevel="0" collapsed="false">
      <c r="A109" s="2" t="n">
        <v>46102</v>
      </c>
      <c r="B109" s="0" t="s">
        <v>206</v>
      </c>
      <c r="C109" s="0" t="s">
        <v>210</v>
      </c>
      <c r="D109" s="0" t="s">
        <v>127</v>
      </c>
      <c r="E109" s="0" t="n">
        <v>7</v>
      </c>
      <c r="F109" s="3" t="n">
        <v>0.604166666666667</v>
      </c>
      <c r="G109" s="0" t="s">
        <v>214</v>
      </c>
      <c r="H109" s="0" t="s">
        <v>203</v>
      </c>
      <c r="I109" s="0" t="s">
        <v>204</v>
      </c>
      <c r="J109" s="0" t="s">
        <v>205</v>
      </c>
    </row>
    <row r="110" customFormat="false" ht="12.8" hidden="false" customHeight="false" outlineLevel="0" collapsed="false">
      <c r="A110" s="2" t="n">
        <v>46102</v>
      </c>
      <c r="B110" s="0" t="s">
        <v>23</v>
      </c>
      <c r="C110" s="0" t="s">
        <v>211</v>
      </c>
      <c r="D110" s="0" t="s">
        <v>127</v>
      </c>
      <c r="E110" s="0" t="n">
        <v>7</v>
      </c>
      <c r="F110" s="3" t="n">
        <v>0.625</v>
      </c>
      <c r="G110" s="0" t="s">
        <v>209</v>
      </c>
      <c r="H110" s="0" t="s">
        <v>203</v>
      </c>
      <c r="I110" s="0" t="s">
        <v>204</v>
      </c>
      <c r="J110" s="0" t="s">
        <v>205</v>
      </c>
    </row>
    <row r="111" customFormat="false" ht="12.8" hidden="false" customHeight="false" outlineLevel="0" collapsed="false">
      <c r="A111" s="2" t="n">
        <v>46102</v>
      </c>
      <c r="B111" s="0" t="s">
        <v>19</v>
      </c>
      <c r="C111" s="0" t="s">
        <v>200</v>
      </c>
      <c r="D111" s="0" t="s">
        <v>127</v>
      </c>
      <c r="E111" s="0" t="n">
        <v>7</v>
      </c>
      <c r="F111" s="3" t="n">
        <v>0.666666666666667</v>
      </c>
      <c r="G111" s="0" t="s">
        <v>209</v>
      </c>
      <c r="H111" s="0" t="s">
        <v>203</v>
      </c>
      <c r="I111" s="0" t="s">
        <v>204</v>
      </c>
      <c r="J111" s="0" t="s">
        <v>205</v>
      </c>
    </row>
    <row r="112" customFormat="false" ht="12.8" hidden="false" customHeight="false" outlineLevel="0" collapsed="false">
      <c r="A112" s="2" t="n">
        <v>46109</v>
      </c>
      <c r="B112" s="0" t="s">
        <v>26</v>
      </c>
      <c r="C112" s="0" t="s">
        <v>23</v>
      </c>
      <c r="D112" s="0" t="s">
        <v>127</v>
      </c>
      <c r="E112" s="0" t="n">
        <v>8</v>
      </c>
      <c r="F112" s="3" t="n">
        <v>0.604166666666667</v>
      </c>
      <c r="G112" s="0" t="s">
        <v>217</v>
      </c>
      <c r="H112" s="0" t="s">
        <v>203</v>
      </c>
      <c r="I112" s="0" t="s">
        <v>204</v>
      </c>
      <c r="J112" s="0" t="s">
        <v>205</v>
      </c>
    </row>
    <row r="113" customFormat="false" ht="12.8" hidden="false" customHeight="false" outlineLevel="0" collapsed="false">
      <c r="A113" s="2" t="n">
        <v>46109</v>
      </c>
      <c r="B113" s="0" t="s">
        <v>206</v>
      </c>
      <c r="C113" s="0" t="s">
        <v>200</v>
      </c>
      <c r="D113" s="0" t="s">
        <v>127</v>
      </c>
      <c r="E113" s="0" t="n">
        <v>8</v>
      </c>
      <c r="F113" s="3" t="n">
        <v>0.604166666666667</v>
      </c>
      <c r="G113" s="0" t="s">
        <v>214</v>
      </c>
      <c r="H113" s="0" t="s">
        <v>203</v>
      </c>
      <c r="I113" s="0" t="s">
        <v>204</v>
      </c>
      <c r="J113" s="0" t="s">
        <v>205</v>
      </c>
    </row>
    <row r="114" customFormat="false" ht="12.8" hidden="false" customHeight="false" outlineLevel="0" collapsed="false">
      <c r="A114" s="2" t="n">
        <v>46109</v>
      </c>
      <c r="B114" s="0" t="s">
        <v>210</v>
      </c>
      <c r="C114" s="0" t="s">
        <v>208</v>
      </c>
      <c r="D114" s="0" t="s">
        <v>127</v>
      </c>
      <c r="E114" s="0" t="n">
        <v>8</v>
      </c>
      <c r="F114" s="3" t="n">
        <v>0.625</v>
      </c>
      <c r="G114" s="0" t="s">
        <v>215</v>
      </c>
      <c r="H114" s="0" t="s">
        <v>203</v>
      </c>
      <c r="I114" s="0" t="s">
        <v>204</v>
      </c>
      <c r="J114" s="0" t="s">
        <v>205</v>
      </c>
    </row>
    <row r="115" customFormat="false" ht="12.8" hidden="false" customHeight="false" outlineLevel="0" collapsed="false">
      <c r="A115" s="2" t="n">
        <v>46109</v>
      </c>
      <c r="B115" s="0" t="s">
        <v>201</v>
      </c>
      <c r="C115" s="0" t="s">
        <v>116</v>
      </c>
      <c r="D115" s="0" t="s">
        <v>127</v>
      </c>
      <c r="E115" s="0" t="n">
        <v>8</v>
      </c>
      <c r="F115" s="3" t="n">
        <v>0.625</v>
      </c>
      <c r="G115" s="0" t="s">
        <v>216</v>
      </c>
      <c r="H115" s="0" t="s">
        <v>203</v>
      </c>
      <c r="I115" s="0" t="s">
        <v>204</v>
      </c>
      <c r="J115" s="0" t="s">
        <v>205</v>
      </c>
    </row>
    <row r="116" customFormat="false" ht="12.8" hidden="false" customHeight="false" outlineLevel="0" collapsed="false">
      <c r="A116" s="2" t="n">
        <v>46109</v>
      </c>
      <c r="B116" s="0" t="s">
        <v>211</v>
      </c>
      <c r="C116" s="0" t="s">
        <v>19</v>
      </c>
      <c r="D116" s="0" t="s">
        <v>127</v>
      </c>
      <c r="E116" s="0" t="n">
        <v>8</v>
      </c>
      <c r="F116" s="3" t="n">
        <v>0.677083333333333</v>
      </c>
      <c r="G116" s="0" t="s">
        <v>212</v>
      </c>
      <c r="H116" s="0" t="s">
        <v>203</v>
      </c>
      <c r="I116" s="0" t="s">
        <v>204</v>
      </c>
      <c r="J116" s="0" t="s">
        <v>205</v>
      </c>
    </row>
    <row r="117" customFormat="false" ht="12.8" hidden="false" customHeight="false" outlineLevel="0" collapsed="false">
      <c r="A117" s="2" t="n">
        <v>46123</v>
      </c>
      <c r="B117" s="0" t="s">
        <v>200</v>
      </c>
      <c r="C117" s="0" t="s">
        <v>211</v>
      </c>
      <c r="D117" s="0" t="s">
        <v>127</v>
      </c>
      <c r="E117" s="0" t="n">
        <v>9</v>
      </c>
      <c r="F117" s="3" t="n">
        <v>0.604166666666667</v>
      </c>
      <c r="G117" s="0" t="s">
        <v>202</v>
      </c>
      <c r="H117" s="0" t="s">
        <v>203</v>
      </c>
      <c r="I117" s="0" t="s">
        <v>204</v>
      </c>
      <c r="J117" s="0" t="s">
        <v>205</v>
      </c>
    </row>
    <row r="118" customFormat="false" ht="12.8" hidden="false" customHeight="false" outlineLevel="0" collapsed="false">
      <c r="A118" s="2" t="n">
        <v>46123</v>
      </c>
      <c r="B118" s="0" t="s">
        <v>116</v>
      </c>
      <c r="C118" s="0" t="s">
        <v>210</v>
      </c>
      <c r="D118" s="0" t="s">
        <v>127</v>
      </c>
      <c r="E118" s="0" t="n">
        <v>9</v>
      </c>
      <c r="F118" s="3" t="n">
        <v>0.604166666666667</v>
      </c>
      <c r="G118" s="0" t="s">
        <v>207</v>
      </c>
      <c r="H118" s="0" t="s">
        <v>203</v>
      </c>
      <c r="I118" s="0" t="s">
        <v>204</v>
      </c>
      <c r="J118" s="0" t="s">
        <v>205</v>
      </c>
    </row>
    <row r="119" customFormat="false" ht="12.8" hidden="false" customHeight="false" outlineLevel="0" collapsed="false">
      <c r="A119" s="2" t="n">
        <v>46123</v>
      </c>
      <c r="B119" s="0" t="s">
        <v>208</v>
      </c>
      <c r="C119" s="0" t="s">
        <v>206</v>
      </c>
      <c r="D119" s="0" t="s">
        <v>127</v>
      </c>
      <c r="E119" s="0" t="n">
        <v>9</v>
      </c>
      <c r="F119" s="3" t="n">
        <v>0.604166666666667</v>
      </c>
      <c r="G119" s="0" t="s">
        <v>213</v>
      </c>
      <c r="H119" s="0" t="s">
        <v>203</v>
      </c>
      <c r="I119" s="0" t="s">
        <v>204</v>
      </c>
      <c r="J119" s="0" t="s">
        <v>205</v>
      </c>
    </row>
    <row r="120" customFormat="false" ht="12.8" hidden="false" customHeight="false" outlineLevel="0" collapsed="false">
      <c r="A120" s="2" t="n">
        <v>46123</v>
      </c>
      <c r="B120" s="0" t="s">
        <v>23</v>
      </c>
      <c r="C120" s="0" t="s">
        <v>201</v>
      </c>
      <c r="D120" s="0" t="s">
        <v>127</v>
      </c>
      <c r="E120" s="0" t="n">
        <v>9</v>
      </c>
      <c r="F120" s="3" t="n">
        <v>0.625</v>
      </c>
      <c r="G120" s="0" t="s">
        <v>209</v>
      </c>
      <c r="H120" s="0" t="s">
        <v>203</v>
      </c>
      <c r="I120" s="0" t="s">
        <v>204</v>
      </c>
      <c r="J120" s="0" t="s">
        <v>205</v>
      </c>
    </row>
    <row r="121" customFormat="false" ht="12.8" hidden="false" customHeight="false" outlineLevel="0" collapsed="false">
      <c r="A121" s="2" t="n">
        <v>46123</v>
      </c>
      <c r="B121" s="0" t="s">
        <v>19</v>
      </c>
      <c r="C121" s="0" t="s">
        <v>26</v>
      </c>
      <c r="D121" s="0" t="s">
        <v>127</v>
      </c>
      <c r="E121" s="0" t="n">
        <v>9</v>
      </c>
      <c r="F121" s="3" t="n">
        <v>0.666666666666667</v>
      </c>
      <c r="G121" s="0" t="s">
        <v>209</v>
      </c>
      <c r="H121" s="0" t="s">
        <v>203</v>
      </c>
      <c r="I121" s="0" t="s">
        <v>204</v>
      </c>
      <c r="J121" s="0" t="s">
        <v>18</v>
      </c>
    </row>
    <row r="122" customFormat="false" ht="12.8" hidden="false" customHeight="false" outlineLevel="0" collapsed="false">
      <c r="A122" s="2" t="n">
        <v>46067</v>
      </c>
      <c r="B122" s="0" t="s">
        <v>218</v>
      </c>
      <c r="C122" s="0" t="s">
        <v>219</v>
      </c>
      <c r="D122" s="0" t="s">
        <v>127</v>
      </c>
      <c r="E122" s="0" t="n">
        <v>2</v>
      </c>
      <c r="F122" s="3" t="n">
        <v>0.604166666666667</v>
      </c>
      <c r="G122" s="0" t="s">
        <v>220</v>
      </c>
      <c r="H122" s="0" t="s">
        <v>221</v>
      </c>
      <c r="I122" s="0" t="s">
        <v>17</v>
      </c>
      <c r="J122" s="0" t="s">
        <v>205</v>
      </c>
    </row>
    <row r="123" customFormat="false" ht="12.8" hidden="false" customHeight="false" outlineLevel="0" collapsed="false">
      <c r="A123" s="2" t="n">
        <v>46067</v>
      </c>
      <c r="B123" s="0" t="s">
        <v>79</v>
      </c>
      <c r="C123" s="0" t="s">
        <v>20</v>
      </c>
      <c r="D123" s="0" t="s">
        <v>127</v>
      </c>
      <c r="E123" s="0" t="n">
        <v>2</v>
      </c>
      <c r="F123" s="3" t="n">
        <v>0.604166666666667</v>
      </c>
      <c r="G123" s="0" t="s">
        <v>222</v>
      </c>
      <c r="H123" s="0" t="s">
        <v>221</v>
      </c>
      <c r="I123" s="0" t="s">
        <v>17</v>
      </c>
      <c r="J123" s="0" t="s">
        <v>205</v>
      </c>
    </row>
    <row r="124" customFormat="false" ht="12.8" hidden="false" customHeight="false" outlineLevel="0" collapsed="false">
      <c r="A124" s="2" t="n">
        <v>46067</v>
      </c>
      <c r="B124" s="0" t="s">
        <v>223</v>
      </c>
      <c r="C124" s="0" t="s">
        <v>68</v>
      </c>
      <c r="D124" s="0" t="s">
        <v>127</v>
      </c>
      <c r="E124" s="0" t="n">
        <v>2</v>
      </c>
      <c r="F124" s="3" t="n">
        <v>0.604166666666667</v>
      </c>
      <c r="G124" s="0" t="s">
        <v>224</v>
      </c>
      <c r="H124" s="0" t="s">
        <v>221</v>
      </c>
      <c r="I124" s="0" t="s">
        <v>17</v>
      </c>
      <c r="J124" s="0" t="s">
        <v>205</v>
      </c>
    </row>
    <row r="125" customFormat="false" ht="12.8" hidden="false" customHeight="false" outlineLevel="0" collapsed="false">
      <c r="A125" s="2" t="n">
        <v>46067</v>
      </c>
      <c r="B125" s="0" t="s">
        <v>12</v>
      </c>
      <c r="C125" s="0" t="s">
        <v>225</v>
      </c>
      <c r="D125" s="0" t="s">
        <v>127</v>
      </c>
      <c r="E125" s="0" t="n">
        <v>2</v>
      </c>
      <c r="F125" s="3" t="n">
        <v>0.625</v>
      </c>
      <c r="G125" s="0" t="s">
        <v>226</v>
      </c>
      <c r="H125" s="0" t="s">
        <v>221</v>
      </c>
      <c r="I125" s="0" t="s">
        <v>17</v>
      </c>
      <c r="J125" s="0" t="s">
        <v>205</v>
      </c>
    </row>
    <row r="126" customFormat="false" ht="12.8" hidden="false" customHeight="false" outlineLevel="0" collapsed="false">
      <c r="A126" s="2" t="n">
        <v>46067</v>
      </c>
      <c r="B126" s="0" t="s">
        <v>227</v>
      </c>
      <c r="C126" s="0" t="s">
        <v>228</v>
      </c>
      <c r="D126" s="0" t="s">
        <v>127</v>
      </c>
      <c r="E126" s="0" t="n">
        <v>2</v>
      </c>
      <c r="F126" s="3" t="n">
        <v>0.645833333333333</v>
      </c>
      <c r="G126" s="0" t="s">
        <v>229</v>
      </c>
      <c r="H126" s="0" t="s">
        <v>221</v>
      </c>
      <c r="I126" s="0" t="s">
        <v>17</v>
      </c>
      <c r="J126" s="0" t="s">
        <v>205</v>
      </c>
    </row>
    <row r="127" customFormat="false" ht="12.8" hidden="false" customHeight="false" outlineLevel="0" collapsed="false">
      <c r="A127" s="2" t="n">
        <v>46074</v>
      </c>
      <c r="B127" s="0" t="s">
        <v>20</v>
      </c>
      <c r="C127" s="0" t="s">
        <v>218</v>
      </c>
      <c r="D127" s="0" t="s">
        <v>127</v>
      </c>
      <c r="E127" s="0" t="n">
        <v>3</v>
      </c>
      <c r="F127" s="3" t="n">
        <v>0.604166666666667</v>
      </c>
      <c r="G127" s="0" t="s">
        <v>230</v>
      </c>
      <c r="H127" s="0" t="s">
        <v>221</v>
      </c>
      <c r="I127" s="0" t="s">
        <v>17</v>
      </c>
      <c r="J127" s="0" t="s">
        <v>205</v>
      </c>
    </row>
    <row r="128" customFormat="false" ht="12.8" hidden="false" customHeight="false" outlineLevel="0" collapsed="false">
      <c r="A128" s="2" t="n">
        <v>46074</v>
      </c>
      <c r="B128" s="0" t="s">
        <v>225</v>
      </c>
      <c r="C128" s="0" t="s">
        <v>223</v>
      </c>
      <c r="D128" s="0" t="s">
        <v>127</v>
      </c>
      <c r="E128" s="0" t="n">
        <v>3</v>
      </c>
      <c r="F128" s="3" t="n">
        <v>0.604166666666667</v>
      </c>
      <c r="G128" s="0" t="s">
        <v>220</v>
      </c>
      <c r="H128" s="0" t="s">
        <v>221</v>
      </c>
      <c r="I128" s="0" t="s">
        <v>17</v>
      </c>
      <c r="J128" s="0" t="s">
        <v>205</v>
      </c>
    </row>
    <row r="129" customFormat="false" ht="12.8" hidden="false" customHeight="false" outlineLevel="0" collapsed="false">
      <c r="A129" s="2" t="n">
        <v>46074</v>
      </c>
      <c r="B129" s="0" t="s">
        <v>68</v>
      </c>
      <c r="C129" s="0" t="s">
        <v>79</v>
      </c>
      <c r="D129" s="0" t="s">
        <v>127</v>
      </c>
      <c r="E129" s="0" t="n">
        <v>3</v>
      </c>
      <c r="F129" s="3" t="n">
        <v>0.645833333333333</v>
      </c>
      <c r="G129" s="0" t="s">
        <v>231</v>
      </c>
      <c r="H129" s="0" t="s">
        <v>221</v>
      </c>
      <c r="I129" s="0" t="s">
        <v>17</v>
      </c>
      <c r="J129" s="0" t="s">
        <v>205</v>
      </c>
    </row>
    <row r="130" customFormat="false" ht="12.8" hidden="false" customHeight="false" outlineLevel="0" collapsed="false">
      <c r="A130" s="2" t="n">
        <v>46074</v>
      </c>
      <c r="B130" s="0" t="s">
        <v>227</v>
      </c>
      <c r="C130" s="0" t="s">
        <v>12</v>
      </c>
      <c r="D130" s="0" t="s">
        <v>127</v>
      </c>
      <c r="E130" s="0" t="n">
        <v>3</v>
      </c>
      <c r="F130" s="3" t="n">
        <v>0.645833333333333</v>
      </c>
      <c r="G130" s="0" t="s">
        <v>229</v>
      </c>
      <c r="H130" s="0" t="s">
        <v>221</v>
      </c>
      <c r="I130" s="0" t="s">
        <v>17</v>
      </c>
      <c r="J130" s="0" t="s">
        <v>205</v>
      </c>
    </row>
    <row r="131" customFormat="false" ht="12.8" hidden="false" customHeight="false" outlineLevel="0" collapsed="false">
      <c r="A131" s="2" t="n">
        <v>46075</v>
      </c>
      <c r="B131" s="0" t="s">
        <v>228</v>
      </c>
      <c r="C131" s="0" t="s">
        <v>219</v>
      </c>
      <c r="D131" s="0" t="s">
        <v>127</v>
      </c>
      <c r="E131" s="0" t="n">
        <v>3</v>
      </c>
      <c r="F131" s="3" t="n">
        <v>0.395833333333333</v>
      </c>
      <c r="G131" s="0" t="s">
        <v>232</v>
      </c>
      <c r="H131" s="0" t="s">
        <v>221</v>
      </c>
      <c r="I131" s="0" t="s">
        <v>17</v>
      </c>
      <c r="J131" s="0" t="s">
        <v>205</v>
      </c>
    </row>
    <row r="132" customFormat="false" ht="12.8" hidden="false" customHeight="false" outlineLevel="0" collapsed="false">
      <c r="A132" s="2" t="n">
        <v>46081</v>
      </c>
      <c r="B132" s="0" t="s">
        <v>219</v>
      </c>
      <c r="C132" s="0" t="s">
        <v>20</v>
      </c>
      <c r="D132" s="0" t="s">
        <v>127</v>
      </c>
      <c r="E132" s="0" t="n">
        <v>4</v>
      </c>
      <c r="F132" s="3" t="n">
        <v>0.604166666666667</v>
      </c>
      <c r="G132" s="0" t="s">
        <v>229</v>
      </c>
      <c r="H132" s="0" t="s">
        <v>221</v>
      </c>
      <c r="I132" s="0" t="s">
        <v>17</v>
      </c>
      <c r="J132" s="0" t="s">
        <v>205</v>
      </c>
    </row>
    <row r="133" customFormat="false" ht="12.8" hidden="false" customHeight="false" outlineLevel="0" collapsed="false">
      <c r="A133" s="2" t="n">
        <v>46081</v>
      </c>
      <c r="B133" s="0" t="s">
        <v>218</v>
      </c>
      <c r="C133" s="0" t="s">
        <v>68</v>
      </c>
      <c r="D133" s="0" t="s">
        <v>127</v>
      </c>
      <c r="E133" s="0" t="n">
        <v>4</v>
      </c>
      <c r="F133" s="3" t="n">
        <v>0.604166666666667</v>
      </c>
      <c r="G133" s="0" t="s">
        <v>220</v>
      </c>
      <c r="H133" s="0" t="s">
        <v>221</v>
      </c>
      <c r="I133" s="0" t="s">
        <v>17</v>
      </c>
      <c r="J133" s="0" t="s">
        <v>205</v>
      </c>
    </row>
    <row r="134" customFormat="false" ht="12.8" hidden="false" customHeight="false" outlineLevel="0" collapsed="false">
      <c r="A134" s="2" t="n">
        <v>46081</v>
      </c>
      <c r="B134" s="0" t="s">
        <v>79</v>
      </c>
      <c r="C134" s="0" t="s">
        <v>225</v>
      </c>
      <c r="D134" s="0" t="s">
        <v>127</v>
      </c>
      <c r="E134" s="0" t="n">
        <v>4</v>
      </c>
      <c r="F134" s="3" t="n">
        <v>0.604166666666667</v>
      </c>
      <c r="G134" s="0" t="s">
        <v>222</v>
      </c>
      <c r="H134" s="0" t="s">
        <v>221</v>
      </c>
      <c r="I134" s="0" t="s">
        <v>17</v>
      </c>
      <c r="J134" s="0" t="s">
        <v>205</v>
      </c>
    </row>
    <row r="135" customFormat="false" ht="12.8" hidden="false" customHeight="false" outlineLevel="0" collapsed="false">
      <c r="A135" s="2" t="n">
        <v>46081</v>
      </c>
      <c r="B135" s="0" t="s">
        <v>223</v>
      </c>
      <c r="C135" s="0" t="s">
        <v>227</v>
      </c>
      <c r="D135" s="0" t="s">
        <v>127</v>
      </c>
      <c r="E135" s="0" t="n">
        <v>4</v>
      </c>
      <c r="F135" s="3" t="n">
        <v>0.604166666666667</v>
      </c>
      <c r="G135" s="0" t="s">
        <v>224</v>
      </c>
      <c r="H135" s="0" t="s">
        <v>221</v>
      </c>
      <c r="I135" s="0" t="s">
        <v>17</v>
      </c>
      <c r="J135" s="0" t="s">
        <v>205</v>
      </c>
    </row>
    <row r="136" customFormat="false" ht="12.8" hidden="false" customHeight="false" outlineLevel="0" collapsed="false">
      <c r="A136" s="2" t="n">
        <v>46081</v>
      </c>
      <c r="B136" s="0" t="s">
        <v>12</v>
      </c>
      <c r="C136" s="0" t="s">
        <v>228</v>
      </c>
      <c r="D136" s="0" t="s">
        <v>127</v>
      </c>
      <c r="E136" s="0" t="n">
        <v>4</v>
      </c>
      <c r="F136" s="3" t="n">
        <v>0.625</v>
      </c>
      <c r="G136" s="0" t="s">
        <v>226</v>
      </c>
      <c r="H136" s="0" t="s">
        <v>221</v>
      </c>
      <c r="I136" s="0" t="s">
        <v>17</v>
      </c>
      <c r="J136" s="0" t="s">
        <v>205</v>
      </c>
    </row>
    <row r="137" customFormat="false" ht="12.8" hidden="false" customHeight="false" outlineLevel="0" collapsed="false">
      <c r="A137" s="2" t="n">
        <v>46088</v>
      </c>
      <c r="B137" s="0" t="s">
        <v>225</v>
      </c>
      <c r="C137" s="0" t="s">
        <v>218</v>
      </c>
      <c r="D137" s="0" t="s">
        <v>127</v>
      </c>
      <c r="E137" s="0" t="n">
        <v>5</v>
      </c>
      <c r="F137" s="3" t="n">
        <v>0.604166666666667</v>
      </c>
      <c r="G137" s="0" t="s">
        <v>220</v>
      </c>
      <c r="H137" s="0" t="s">
        <v>221</v>
      </c>
      <c r="I137" s="0" t="s">
        <v>17</v>
      </c>
      <c r="J137" s="0" t="s">
        <v>205</v>
      </c>
    </row>
    <row r="138" customFormat="false" ht="12.8" hidden="false" customHeight="false" outlineLevel="0" collapsed="false">
      <c r="A138" s="2" t="n">
        <v>46088</v>
      </c>
      <c r="B138" s="0" t="s">
        <v>12</v>
      </c>
      <c r="C138" s="0" t="s">
        <v>223</v>
      </c>
      <c r="D138" s="0" t="s">
        <v>127</v>
      </c>
      <c r="E138" s="0" t="n">
        <v>5</v>
      </c>
      <c r="F138" s="3" t="n">
        <v>0.625</v>
      </c>
      <c r="G138" s="0" t="s">
        <v>226</v>
      </c>
      <c r="H138" s="0" t="s">
        <v>221</v>
      </c>
      <c r="I138" s="0" t="s">
        <v>17</v>
      </c>
      <c r="J138" s="0" t="s">
        <v>205</v>
      </c>
    </row>
    <row r="139" customFormat="false" ht="12.8" hidden="false" customHeight="false" outlineLevel="0" collapsed="false">
      <c r="A139" s="2" t="n">
        <v>46088</v>
      </c>
      <c r="B139" s="0" t="s">
        <v>227</v>
      </c>
      <c r="C139" s="0" t="s">
        <v>79</v>
      </c>
      <c r="D139" s="0" t="s">
        <v>127</v>
      </c>
      <c r="E139" s="0" t="n">
        <v>5</v>
      </c>
      <c r="F139" s="3" t="n">
        <v>0.645833333333333</v>
      </c>
      <c r="G139" s="0" t="s">
        <v>229</v>
      </c>
      <c r="H139" s="0" t="s">
        <v>221</v>
      </c>
      <c r="I139" s="0" t="s">
        <v>17</v>
      </c>
      <c r="J139" s="0" t="s">
        <v>205</v>
      </c>
    </row>
    <row r="140" customFormat="false" ht="12.8" hidden="false" customHeight="false" outlineLevel="0" collapsed="false">
      <c r="A140" s="2" t="n">
        <v>46088</v>
      </c>
      <c r="B140" s="0" t="s">
        <v>68</v>
      </c>
      <c r="C140" s="0" t="s">
        <v>219</v>
      </c>
      <c r="D140" s="0" t="s">
        <v>127</v>
      </c>
      <c r="E140" s="0" t="n">
        <v>5</v>
      </c>
      <c r="F140" s="3" t="n">
        <v>0.645833333333333</v>
      </c>
      <c r="G140" s="0" t="s">
        <v>231</v>
      </c>
      <c r="H140" s="0" t="s">
        <v>221</v>
      </c>
      <c r="I140" s="0" t="s">
        <v>17</v>
      </c>
      <c r="J140" s="0" t="s">
        <v>205</v>
      </c>
    </row>
    <row r="141" customFormat="false" ht="12.8" hidden="false" customHeight="false" outlineLevel="0" collapsed="false">
      <c r="A141" s="2" t="n">
        <v>46089</v>
      </c>
      <c r="B141" s="0" t="s">
        <v>228</v>
      </c>
      <c r="C141" s="0" t="s">
        <v>20</v>
      </c>
      <c r="D141" s="0" t="s">
        <v>127</v>
      </c>
      <c r="E141" s="0" t="n">
        <v>5</v>
      </c>
      <c r="F141" s="3" t="n">
        <v>0.395833333333333</v>
      </c>
      <c r="G141" s="0" t="s">
        <v>232</v>
      </c>
      <c r="H141" s="0" t="s">
        <v>221</v>
      </c>
      <c r="I141" s="0" t="s">
        <v>17</v>
      </c>
      <c r="J141" s="0" t="s">
        <v>205</v>
      </c>
    </row>
    <row r="142" customFormat="false" ht="12.8" hidden="false" customHeight="false" outlineLevel="0" collapsed="false">
      <c r="A142" s="2" t="n">
        <v>46095</v>
      </c>
      <c r="B142" s="0" t="s">
        <v>20</v>
      </c>
      <c r="C142" s="0" t="s">
        <v>68</v>
      </c>
      <c r="D142" s="0" t="s">
        <v>127</v>
      </c>
      <c r="E142" s="0" t="n">
        <v>6</v>
      </c>
      <c r="F142" s="3" t="n">
        <v>0.604166666666667</v>
      </c>
      <c r="G142" s="0" t="s">
        <v>230</v>
      </c>
      <c r="H142" s="0" t="s">
        <v>221</v>
      </c>
      <c r="I142" s="0" t="s">
        <v>17</v>
      </c>
      <c r="J142" s="0" t="s">
        <v>205</v>
      </c>
    </row>
    <row r="143" customFormat="false" ht="12.8" hidden="false" customHeight="false" outlineLevel="0" collapsed="false">
      <c r="A143" s="2" t="n">
        <v>46095</v>
      </c>
      <c r="B143" s="0" t="s">
        <v>219</v>
      </c>
      <c r="C143" s="0" t="s">
        <v>225</v>
      </c>
      <c r="D143" s="0" t="s">
        <v>127</v>
      </c>
      <c r="E143" s="0" t="n">
        <v>6</v>
      </c>
      <c r="F143" s="3" t="n">
        <v>0.604166666666667</v>
      </c>
      <c r="G143" s="0" t="s">
        <v>229</v>
      </c>
      <c r="H143" s="0" t="s">
        <v>221</v>
      </c>
      <c r="I143" s="0" t="s">
        <v>17</v>
      </c>
      <c r="J143" s="0" t="s">
        <v>205</v>
      </c>
    </row>
    <row r="144" customFormat="false" ht="12.8" hidden="false" customHeight="false" outlineLevel="0" collapsed="false">
      <c r="A144" s="2" t="n">
        <v>46095</v>
      </c>
      <c r="B144" s="0" t="s">
        <v>218</v>
      </c>
      <c r="C144" s="0" t="s">
        <v>227</v>
      </c>
      <c r="D144" s="0" t="s">
        <v>127</v>
      </c>
      <c r="E144" s="0" t="n">
        <v>6</v>
      </c>
      <c r="F144" s="3" t="n">
        <v>0.604166666666667</v>
      </c>
      <c r="G144" s="0" t="s">
        <v>220</v>
      </c>
      <c r="H144" s="0" t="s">
        <v>221</v>
      </c>
      <c r="I144" s="0" t="s">
        <v>17</v>
      </c>
      <c r="J144" s="0" t="s">
        <v>205</v>
      </c>
    </row>
    <row r="145" customFormat="false" ht="12.8" hidden="false" customHeight="false" outlineLevel="0" collapsed="false">
      <c r="A145" s="2" t="n">
        <v>46095</v>
      </c>
      <c r="B145" s="0" t="s">
        <v>79</v>
      </c>
      <c r="C145" s="0" t="s">
        <v>12</v>
      </c>
      <c r="D145" s="0" t="s">
        <v>127</v>
      </c>
      <c r="E145" s="0" t="n">
        <v>6</v>
      </c>
      <c r="F145" s="3" t="n">
        <v>0.604166666666667</v>
      </c>
      <c r="G145" s="0" t="s">
        <v>222</v>
      </c>
      <c r="H145" s="0" t="s">
        <v>221</v>
      </c>
      <c r="I145" s="0" t="s">
        <v>17</v>
      </c>
      <c r="J145" s="0" t="s">
        <v>205</v>
      </c>
    </row>
    <row r="146" customFormat="false" ht="12.8" hidden="false" customHeight="false" outlineLevel="0" collapsed="false">
      <c r="A146" s="2" t="n">
        <v>46095</v>
      </c>
      <c r="B146" s="0" t="s">
        <v>223</v>
      </c>
      <c r="C146" s="0" t="s">
        <v>228</v>
      </c>
      <c r="D146" s="0" t="s">
        <v>127</v>
      </c>
      <c r="E146" s="0" t="n">
        <v>6</v>
      </c>
      <c r="F146" s="3" t="n">
        <v>0.604166666666667</v>
      </c>
      <c r="G146" s="0" t="s">
        <v>224</v>
      </c>
      <c r="H146" s="0" t="s">
        <v>221</v>
      </c>
      <c r="I146" s="0" t="s">
        <v>17</v>
      </c>
      <c r="J146" s="0" t="s">
        <v>205</v>
      </c>
    </row>
    <row r="147" customFormat="false" ht="12.8" hidden="false" customHeight="false" outlineLevel="0" collapsed="false">
      <c r="A147" s="2" t="n">
        <v>46102</v>
      </c>
      <c r="B147" s="0" t="s">
        <v>223</v>
      </c>
      <c r="C147" s="0" t="s">
        <v>79</v>
      </c>
      <c r="D147" s="0" t="s">
        <v>127</v>
      </c>
      <c r="E147" s="0" t="n">
        <v>7</v>
      </c>
      <c r="F147" s="3" t="n">
        <v>0.604166666666667</v>
      </c>
      <c r="G147" s="0" t="s">
        <v>224</v>
      </c>
      <c r="H147" s="0" t="s">
        <v>221</v>
      </c>
      <c r="I147" s="0" t="s">
        <v>17</v>
      </c>
      <c r="J147" s="0" t="s">
        <v>205</v>
      </c>
    </row>
    <row r="148" customFormat="false" ht="12.8" hidden="false" customHeight="false" outlineLevel="0" collapsed="false">
      <c r="A148" s="2" t="n">
        <v>46102</v>
      </c>
      <c r="B148" s="0" t="s">
        <v>225</v>
      </c>
      <c r="C148" s="0" t="s">
        <v>20</v>
      </c>
      <c r="D148" s="0" t="s">
        <v>127</v>
      </c>
      <c r="E148" s="0" t="n">
        <v>7</v>
      </c>
      <c r="F148" s="3" t="n">
        <v>0.604166666666667</v>
      </c>
      <c r="G148" s="0" t="s">
        <v>220</v>
      </c>
      <c r="H148" s="0" t="s">
        <v>221</v>
      </c>
      <c r="I148" s="0" t="s">
        <v>17</v>
      </c>
      <c r="J148" s="0" t="s">
        <v>205</v>
      </c>
    </row>
    <row r="149" customFormat="false" ht="12.8" hidden="false" customHeight="false" outlineLevel="0" collapsed="false">
      <c r="A149" s="2" t="n">
        <v>46102</v>
      </c>
      <c r="B149" s="0" t="s">
        <v>12</v>
      </c>
      <c r="C149" s="0" t="s">
        <v>218</v>
      </c>
      <c r="D149" s="0" t="s">
        <v>127</v>
      </c>
      <c r="E149" s="0" t="n">
        <v>7</v>
      </c>
      <c r="F149" s="3" t="n">
        <v>0.625</v>
      </c>
      <c r="G149" s="0" t="s">
        <v>226</v>
      </c>
      <c r="H149" s="0" t="s">
        <v>221</v>
      </c>
      <c r="I149" s="0" t="s">
        <v>17</v>
      </c>
      <c r="J149" s="0" t="s">
        <v>205</v>
      </c>
    </row>
    <row r="150" customFormat="false" ht="12.8" hidden="false" customHeight="false" outlineLevel="0" collapsed="false">
      <c r="A150" s="2" t="n">
        <v>46102</v>
      </c>
      <c r="B150" s="0" t="s">
        <v>227</v>
      </c>
      <c r="C150" s="0" t="s">
        <v>219</v>
      </c>
      <c r="D150" s="0" t="s">
        <v>127</v>
      </c>
      <c r="E150" s="0" t="n">
        <v>7</v>
      </c>
      <c r="F150" s="3" t="n">
        <v>0.645833333333333</v>
      </c>
      <c r="G150" s="0" t="s">
        <v>229</v>
      </c>
      <c r="H150" s="0" t="s">
        <v>221</v>
      </c>
      <c r="I150" s="0" t="s">
        <v>17</v>
      </c>
      <c r="J150" s="0" t="s">
        <v>205</v>
      </c>
    </row>
    <row r="151" customFormat="false" ht="12.8" hidden="false" customHeight="false" outlineLevel="0" collapsed="false">
      <c r="A151" s="2" t="n">
        <v>46103</v>
      </c>
      <c r="B151" s="0" t="s">
        <v>228</v>
      </c>
      <c r="C151" s="0" t="s">
        <v>68</v>
      </c>
      <c r="D151" s="0" t="s">
        <v>127</v>
      </c>
      <c r="E151" s="0" t="n">
        <v>7</v>
      </c>
      <c r="F151" s="3" t="n">
        <v>0.395833333333333</v>
      </c>
      <c r="G151" s="0" t="s">
        <v>232</v>
      </c>
      <c r="H151" s="0" t="s">
        <v>221</v>
      </c>
      <c r="I151" s="0" t="s">
        <v>17</v>
      </c>
      <c r="J151" s="0" t="s">
        <v>205</v>
      </c>
    </row>
    <row r="152" customFormat="false" ht="12.8" hidden="false" customHeight="false" outlineLevel="0" collapsed="false">
      <c r="A152" s="2" t="n">
        <v>46109</v>
      </c>
      <c r="B152" s="0" t="s">
        <v>20</v>
      </c>
      <c r="C152" s="0" t="s">
        <v>227</v>
      </c>
      <c r="D152" s="0" t="s">
        <v>127</v>
      </c>
      <c r="E152" s="0" t="n">
        <v>8</v>
      </c>
      <c r="F152" s="3" t="n">
        <v>0.604166666666667</v>
      </c>
      <c r="G152" s="0" t="s">
        <v>230</v>
      </c>
      <c r="H152" s="0" t="s">
        <v>221</v>
      </c>
      <c r="I152" s="0" t="s">
        <v>17</v>
      </c>
      <c r="J152" s="0" t="s">
        <v>205</v>
      </c>
    </row>
    <row r="153" customFormat="false" ht="12.8" hidden="false" customHeight="false" outlineLevel="0" collapsed="false">
      <c r="A153" s="2" t="n">
        <v>46109</v>
      </c>
      <c r="B153" s="0" t="s">
        <v>219</v>
      </c>
      <c r="C153" s="0" t="s">
        <v>12</v>
      </c>
      <c r="D153" s="0" t="s">
        <v>127</v>
      </c>
      <c r="E153" s="0" t="n">
        <v>8</v>
      </c>
      <c r="F153" s="3" t="n">
        <v>0.604166666666667</v>
      </c>
      <c r="G153" s="0" t="s">
        <v>229</v>
      </c>
      <c r="H153" s="0" t="s">
        <v>221</v>
      </c>
      <c r="I153" s="0" t="s">
        <v>17</v>
      </c>
      <c r="J153" s="0" t="s">
        <v>205</v>
      </c>
    </row>
    <row r="154" customFormat="false" ht="12.8" hidden="false" customHeight="false" outlineLevel="0" collapsed="false">
      <c r="A154" s="2" t="n">
        <v>46109</v>
      </c>
      <c r="B154" s="0" t="s">
        <v>218</v>
      </c>
      <c r="C154" s="0" t="s">
        <v>223</v>
      </c>
      <c r="D154" s="0" t="s">
        <v>127</v>
      </c>
      <c r="E154" s="0" t="n">
        <v>8</v>
      </c>
      <c r="F154" s="3" t="n">
        <v>0.604166666666667</v>
      </c>
      <c r="G154" s="0" t="s">
        <v>220</v>
      </c>
      <c r="H154" s="0" t="s">
        <v>221</v>
      </c>
      <c r="I154" s="0" t="s">
        <v>17</v>
      </c>
      <c r="J154" s="0" t="s">
        <v>205</v>
      </c>
    </row>
    <row r="155" customFormat="false" ht="12.8" hidden="false" customHeight="false" outlineLevel="0" collapsed="false">
      <c r="A155" s="2" t="n">
        <v>46109</v>
      </c>
      <c r="B155" s="0" t="s">
        <v>68</v>
      </c>
      <c r="C155" s="0" t="s">
        <v>225</v>
      </c>
      <c r="D155" s="0" t="s">
        <v>127</v>
      </c>
      <c r="E155" s="0" t="n">
        <v>8</v>
      </c>
      <c r="F155" s="3" t="n">
        <v>0.645833333333333</v>
      </c>
      <c r="G155" s="0" t="s">
        <v>231</v>
      </c>
      <c r="H155" s="0" t="s">
        <v>221</v>
      </c>
      <c r="I155" s="0" t="s">
        <v>17</v>
      </c>
      <c r="J155" s="0" t="s">
        <v>205</v>
      </c>
    </row>
    <row r="156" customFormat="false" ht="12.8" hidden="false" customHeight="false" outlineLevel="0" collapsed="false">
      <c r="A156" s="2" t="n">
        <v>46110</v>
      </c>
      <c r="B156" s="0" t="s">
        <v>228</v>
      </c>
      <c r="C156" s="0" t="s">
        <v>79</v>
      </c>
      <c r="D156" s="0" t="s">
        <v>127</v>
      </c>
      <c r="E156" s="0" t="n">
        <v>8</v>
      </c>
      <c r="F156" s="3" t="n">
        <v>0.395833333333333</v>
      </c>
      <c r="G156" s="0" t="s">
        <v>232</v>
      </c>
      <c r="H156" s="0" t="s">
        <v>221</v>
      </c>
      <c r="I156" s="0" t="s">
        <v>17</v>
      </c>
      <c r="J156" s="0" t="s">
        <v>205</v>
      </c>
    </row>
    <row r="157" customFormat="false" ht="12.8" hidden="false" customHeight="false" outlineLevel="0" collapsed="false">
      <c r="A157" s="2" t="n">
        <v>46123</v>
      </c>
      <c r="B157" s="0" t="s">
        <v>79</v>
      </c>
      <c r="C157" s="0" t="s">
        <v>218</v>
      </c>
      <c r="D157" s="0" t="s">
        <v>127</v>
      </c>
      <c r="E157" s="0" t="n">
        <v>9</v>
      </c>
      <c r="F157" s="3" t="n">
        <v>0.604166666666667</v>
      </c>
      <c r="G157" s="0" t="s">
        <v>222</v>
      </c>
      <c r="H157" s="0" t="s">
        <v>221</v>
      </c>
      <c r="I157" s="0" t="s">
        <v>17</v>
      </c>
      <c r="J157" s="0" t="s">
        <v>205</v>
      </c>
    </row>
    <row r="158" customFormat="false" ht="12.8" hidden="false" customHeight="false" outlineLevel="0" collapsed="false">
      <c r="A158" s="2" t="n">
        <v>46123</v>
      </c>
      <c r="B158" s="0" t="s">
        <v>223</v>
      </c>
      <c r="C158" s="0" t="s">
        <v>219</v>
      </c>
      <c r="D158" s="0" t="s">
        <v>127</v>
      </c>
      <c r="E158" s="0" t="n">
        <v>9</v>
      </c>
      <c r="F158" s="3" t="n">
        <v>0.604166666666667</v>
      </c>
      <c r="G158" s="0" t="s">
        <v>224</v>
      </c>
      <c r="H158" s="0" t="s">
        <v>221</v>
      </c>
      <c r="I158" s="0" t="s">
        <v>17</v>
      </c>
      <c r="J158" s="0" t="s">
        <v>205</v>
      </c>
    </row>
    <row r="159" customFormat="false" ht="12.8" hidden="false" customHeight="false" outlineLevel="0" collapsed="false">
      <c r="A159" s="2" t="n">
        <v>46123</v>
      </c>
      <c r="B159" s="0" t="s">
        <v>225</v>
      </c>
      <c r="C159" s="0" t="s">
        <v>228</v>
      </c>
      <c r="D159" s="0" t="s">
        <v>127</v>
      </c>
      <c r="E159" s="0" t="n">
        <v>9</v>
      </c>
      <c r="F159" s="3" t="n">
        <v>0.604166666666667</v>
      </c>
      <c r="G159" s="0" t="s">
        <v>220</v>
      </c>
      <c r="H159" s="0" t="s">
        <v>221</v>
      </c>
      <c r="I159" s="0" t="s">
        <v>17</v>
      </c>
      <c r="J159" s="0" t="s">
        <v>205</v>
      </c>
    </row>
    <row r="160" customFormat="false" ht="12.8" hidden="false" customHeight="false" outlineLevel="0" collapsed="false">
      <c r="A160" s="2" t="n">
        <v>46123</v>
      </c>
      <c r="B160" s="0" t="s">
        <v>12</v>
      </c>
      <c r="C160" s="0" t="s">
        <v>20</v>
      </c>
      <c r="D160" s="0" t="s">
        <v>127</v>
      </c>
      <c r="E160" s="0" t="n">
        <v>9</v>
      </c>
      <c r="F160" s="3" t="n">
        <v>0.625</v>
      </c>
      <c r="G160" s="0" t="s">
        <v>226</v>
      </c>
      <c r="H160" s="0" t="s">
        <v>221</v>
      </c>
      <c r="I160" s="0" t="s">
        <v>17</v>
      </c>
      <c r="J160" s="0" t="s">
        <v>205</v>
      </c>
    </row>
    <row r="161" customFormat="false" ht="12.8" hidden="false" customHeight="false" outlineLevel="0" collapsed="false">
      <c r="A161" s="2" t="n">
        <v>46123</v>
      </c>
      <c r="B161" s="0" t="s">
        <v>227</v>
      </c>
      <c r="C161" s="0" t="s">
        <v>68</v>
      </c>
      <c r="D161" s="0" t="s">
        <v>127</v>
      </c>
      <c r="E161" s="0" t="n">
        <v>9</v>
      </c>
      <c r="F161" s="3" t="n">
        <v>0.645833333333333</v>
      </c>
      <c r="G161" s="0" t="s">
        <v>229</v>
      </c>
      <c r="H161" s="0" t="s">
        <v>221</v>
      </c>
      <c r="I161" s="0" t="s">
        <v>17</v>
      </c>
      <c r="J161" s="0" t="s">
        <v>233</v>
      </c>
    </row>
    <row r="162" customFormat="false" ht="12.8" hidden="false" customHeight="false" outlineLevel="0" collapsed="false">
      <c r="A162" s="2" t="n">
        <v>46067</v>
      </c>
      <c r="B162" s="0" t="s">
        <v>234</v>
      </c>
      <c r="C162" s="0" t="s">
        <v>235</v>
      </c>
      <c r="D162" s="0" t="s">
        <v>127</v>
      </c>
      <c r="E162" s="0" t="n">
        <v>2</v>
      </c>
      <c r="F162" s="3" t="n">
        <v>0.583333333333333</v>
      </c>
      <c r="G162" s="0" t="s">
        <v>236</v>
      </c>
      <c r="H162" s="0" t="s">
        <v>237</v>
      </c>
      <c r="I162" s="0" t="s">
        <v>130</v>
      </c>
      <c r="J162" s="0" t="s">
        <v>131</v>
      </c>
    </row>
    <row r="163" customFormat="false" ht="12.8" hidden="false" customHeight="false" outlineLevel="0" collapsed="false">
      <c r="A163" s="2" t="n">
        <v>46067</v>
      </c>
      <c r="B163" s="0" t="s">
        <v>238</v>
      </c>
      <c r="C163" s="0" t="s">
        <v>239</v>
      </c>
      <c r="D163" s="0" t="s">
        <v>127</v>
      </c>
      <c r="E163" s="0" t="n">
        <v>2</v>
      </c>
      <c r="F163" s="3" t="n">
        <v>0.604166666666667</v>
      </c>
      <c r="G163" s="0" t="s">
        <v>240</v>
      </c>
      <c r="H163" s="0" t="s">
        <v>237</v>
      </c>
      <c r="I163" s="0" t="s">
        <v>130</v>
      </c>
      <c r="J163" s="0" t="s">
        <v>131</v>
      </c>
    </row>
    <row r="164" customFormat="false" ht="12.8" hidden="false" customHeight="false" outlineLevel="0" collapsed="false">
      <c r="A164" s="2" t="n">
        <v>46067</v>
      </c>
      <c r="B164" s="0" t="s">
        <v>241</v>
      </c>
      <c r="C164" s="0" t="s">
        <v>242</v>
      </c>
      <c r="D164" s="0" t="s">
        <v>127</v>
      </c>
      <c r="E164" s="0" t="n">
        <v>2</v>
      </c>
      <c r="F164" s="3" t="n">
        <v>0.604166666666667</v>
      </c>
      <c r="G164" s="0" t="s">
        <v>198</v>
      </c>
      <c r="H164" s="0" t="s">
        <v>237</v>
      </c>
      <c r="I164" s="0" t="s">
        <v>130</v>
      </c>
      <c r="J164" s="0" t="s">
        <v>131</v>
      </c>
    </row>
    <row r="165" customFormat="false" ht="12.8" hidden="false" customHeight="false" outlineLevel="0" collapsed="false">
      <c r="A165" s="2" t="n">
        <v>46067</v>
      </c>
      <c r="B165" s="0" t="s">
        <v>243</v>
      </c>
      <c r="C165" s="0" t="s">
        <v>244</v>
      </c>
      <c r="D165" s="0" t="s">
        <v>127</v>
      </c>
      <c r="E165" s="0" t="n">
        <v>2</v>
      </c>
      <c r="F165" s="3" t="n">
        <v>0.604166666666667</v>
      </c>
      <c r="G165" s="0" t="s">
        <v>245</v>
      </c>
      <c r="H165" s="0" t="s">
        <v>237</v>
      </c>
      <c r="I165" s="0" t="s">
        <v>130</v>
      </c>
      <c r="J165" s="0" t="s">
        <v>131</v>
      </c>
    </row>
    <row r="166" customFormat="false" ht="12.8" hidden="false" customHeight="false" outlineLevel="0" collapsed="false">
      <c r="A166" s="2" t="n">
        <v>46067</v>
      </c>
      <c r="B166" s="0" t="s">
        <v>246</v>
      </c>
      <c r="C166" s="0" t="s">
        <v>247</v>
      </c>
      <c r="D166" s="0" t="s">
        <v>127</v>
      </c>
      <c r="E166" s="0" t="n">
        <v>2</v>
      </c>
      <c r="F166" s="3" t="n">
        <v>0.645833333333333</v>
      </c>
      <c r="G166" s="0" t="s">
        <v>182</v>
      </c>
      <c r="H166" s="0" t="s">
        <v>237</v>
      </c>
      <c r="I166" s="0" t="s">
        <v>130</v>
      </c>
      <c r="J166" s="0" t="s">
        <v>131</v>
      </c>
    </row>
    <row r="167" customFormat="false" ht="12.8" hidden="false" customHeight="false" outlineLevel="0" collapsed="false">
      <c r="A167" s="2" t="n">
        <v>46074</v>
      </c>
      <c r="B167" s="0" t="s">
        <v>244</v>
      </c>
      <c r="C167" s="0" t="s">
        <v>246</v>
      </c>
      <c r="D167" s="0" t="s">
        <v>127</v>
      </c>
      <c r="E167" s="0" t="n">
        <v>3</v>
      </c>
      <c r="F167" s="3" t="n">
        <v>0.59375</v>
      </c>
      <c r="G167" s="0" t="s">
        <v>248</v>
      </c>
      <c r="H167" s="0" t="s">
        <v>237</v>
      </c>
      <c r="I167" s="0" t="s">
        <v>130</v>
      </c>
      <c r="J167" s="0" t="s">
        <v>131</v>
      </c>
    </row>
    <row r="168" customFormat="false" ht="12.8" hidden="false" customHeight="false" outlineLevel="0" collapsed="false">
      <c r="A168" s="2" t="n">
        <v>46074</v>
      </c>
      <c r="B168" s="0" t="s">
        <v>242</v>
      </c>
      <c r="C168" s="0" t="s">
        <v>247</v>
      </c>
      <c r="D168" s="0" t="s">
        <v>127</v>
      </c>
      <c r="E168" s="0" t="n">
        <v>3</v>
      </c>
      <c r="F168" s="3" t="n">
        <v>0.604166666666667</v>
      </c>
      <c r="G168" s="0" t="s">
        <v>249</v>
      </c>
      <c r="H168" s="0" t="s">
        <v>237</v>
      </c>
      <c r="I168" s="0" t="s">
        <v>130</v>
      </c>
      <c r="J168" s="0" t="s">
        <v>131</v>
      </c>
    </row>
    <row r="169" customFormat="false" ht="12.8" hidden="false" customHeight="false" outlineLevel="0" collapsed="false">
      <c r="A169" s="2" t="n">
        <v>46074</v>
      </c>
      <c r="B169" s="0" t="s">
        <v>241</v>
      </c>
      <c r="C169" s="0" t="s">
        <v>238</v>
      </c>
      <c r="D169" s="0" t="s">
        <v>127</v>
      </c>
      <c r="E169" s="0" t="n">
        <v>3</v>
      </c>
      <c r="F169" s="3" t="n">
        <v>0.604166666666667</v>
      </c>
      <c r="G169" s="0" t="s">
        <v>198</v>
      </c>
      <c r="H169" s="0" t="s">
        <v>237</v>
      </c>
      <c r="I169" s="0" t="s">
        <v>130</v>
      </c>
      <c r="J169" s="0" t="s">
        <v>131</v>
      </c>
    </row>
    <row r="170" customFormat="false" ht="12.8" hidden="false" customHeight="false" outlineLevel="0" collapsed="false">
      <c r="A170" s="2" t="n">
        <v>46074</v>
      </c>
      <c r="B170" s="0" t="s">
        <v>239</v>
      </c>
      <c r="C170" s="0" t="s">
        <v>234</v>
      </c>
      <c r="D170" s="0" t="s">
        <v>127</v>
      </c>
      <c r="E170" s="0" t="n">
        <v>3</v>
      </c>
      <c r="F170" s="3" t="n">
        <v>0.604166666666667</v>
      </c>
      <c r="G170" s="0" t="s">
        <v>250</v>
      </c>
      <c r="H170" s="0" t="s">
        <v>237</v>
      </c>
      <c r="I170" s="0" t="s">
        <v>130</v>
      </c>
      <c r="J170" s="0" t="s">
        <v>131</v>
      </c>
    </row>
    <row r="171" customFormat="false" ht="12.8" hidden="false" customHeight="false" outlineLevel="0" collapsed="false">
      <c r="A171" s="2" t="n">
        <v>46074</v>
      </c>
      <c r="B171" s="0" t="s">
        <v>235</v>
      </c>
      <c r="C171" s="0" t="s">
        <v>243</v>
      </c>
      <c r="D171" s="0" t="s">
        <v>127</v>
      </c>
      <c r="E171" s="0" t="n">
        <v>3</v>
      </c>
      <c r="F171" s="3" t="n">
        <v>0.604166666666667</v>
      </c>
      <c r="G171" s="0" t="s">
        <v>251</v>
      </c>
      <c r="H171" s="0" t="s">
        <v>237</v>
      </c>
      <c r="I171" s="0" t="s">
        <v>130</v>
      </c>
      <c r="J171" s="0" t="s">
        <v>131</v>
      </c>
    </row>
    <row r="172" customFormat="false" ht="12.8" hidden="false" customHeight="false" outlineLevel="0" collapsed="false">
      <c r="A172" s="2" t="n">
        <v>46081</v>
      </c>
      <c r="B172" s="0" t="s">
        <v>243</v>
      </c>
      <c r="C172" s="0" t="s">
        <v>239</v>
      </c>
      <c r="D172" s="0" t="s">
        <v>127</v>
      </c>
      <c r="E172" s="0" t="n">
        <v>4</v>
      </c>
      <c r="F172" s="3" t="n">
        <v>0.604166666666667</v>
      </c>
      <c r="G172" s="0" t="s">
        <v>245</v>
      </c>
      <c r="H172" s="0" t="s">
        <v>237</v>
      </c>
      <c r="I172" s="0" t="s">
        <v>130</v>
      </c>
      <c r="J172" s="0" t="s">
        <v>131</v>
      </c>
    </row>
    <row r="173" customFormat="false" ht="12.8" hidden="false" customHeight="false" outlineLevel="0" collapsed="false">
      <c r="A173" s="2" t="n">
        <v>46081</v>
      </c>
      <c r="B173" s="0" t="s">
        <v>238</v>
      </c>
      <c r="C173" s="0" t="s">
        <v>242</v>
      </c>
      <c r="D173" s="0" t="s">
        <v>127</v>
      </c>
      <c r="E173" s="0" t="n">
        <v>4</v>
      </c>
      <c r="F173" s="3" t="n">
        <v>0.604166666666667</v>
      </c>
      <c r="G173" s="0" t="s">
        <v>240</v>
      </c>
      <c r="H173" s="0" t="s">
        <v>237</v>
      </c>
      <c r="I173" s="0" t="s">
        <v>130</v>
      </c>
      <c r="J173" s="0" t="s">
        <v>131</v>
      </c>
    </row>
    <row r="174" customFormat="false" ht="12.8" hidden="false" customHeight="false" outlineLevel="0" collapsed="false">
      <c r="A174" s="2" t="n">
        <v>46081</v>
      </c>
      <c r="B174" s="0" t="s">
        <v>241</v>
      </c>
      <c r="C174" s="0" t="s">
        <v>234</v>
      </c>
      <c r="D174" s="0" t="s">
        <v>127</v>
      </c>
      <c r="E174" s="0" t="n">
        <v>4</v>
      </c>
      <c r="F174" s="3" t="n">
        <v>0.604166666666667</v>
      </c>
      <c r="G174" s="0" t="s">
        <v>198</v>
      </c>
      <c r="H174" s="0" t="s">
        <v>237</v>
      </c>
      <c r="I174" s="0" t="s">
        <v>130</v>
      </c>
      <c r="J174" s="0" t="s">
        <v>131</v>
      </c>
    </row>
    <row r="175" customFormat="false" ht="12.8" hidden="false" customHeight="false" outlineLevel="0" collapsed="false">
      <c r="A175" s="2" t="n">
        <v>46081</v>
      </c>
      <c r="B175" s="0" t="s">
        <v>246</v>
      </c>
      <c r="C175" s="0" t="s">
        <v>235</v>
      </c>
      <c r="D175" s="0" t="s">
        <v>127</v>
      </c>
      <c r="E175" s="0" t="n">
        <v>4</v>
      </c>
      <c r="F175" s="3" t="n">
        <v>0.645833333333333</v>
      </c>
      <c r="G175" s="0" t="s">
        <v>182</v>
      </c>
      <c r="H175" s="0" t="s">
        <v>237</v>
      </c>
      <c r="I175" s="0" t="s">
        <v>130</v>
      </c>
      <c r="J175" s="0" t="s">
        <v>131</v>
      </c>
    </row>
    <row r="176" customFormat="false" ht="12.8" hidden="false" customHeight="false" outlineLevel="0" collapsed="false">
      <c r="A176" s="2" t="n">
        <v>46081</v>
      </c>
      <c r="B176" s="0" t="s">
        <v>247</v>
      </c>
      <c r="C176" s="0" t="s">
        <v>244</v>
      </c>
      <c r="D176" s="0" t="s">
        <v>127</v>
      </c>
      <c r="E176" s="0" t="n">
        <v>4</v>
      </c>
      <c r="F176" s="3" t="n">
        <v>0.666666666666667</v>
      </c>
      <c r="G176" s="0" t="s">
        <v>198</v>
      </c>
      <c r="H176" s="0" t="s">
        <v>237</v>
      </c>
      <c r="I176" s="0" t="s">
        <v>130</v>
      </c>
      <c r="J176" s="0" t="s">
        <v>131</v>
      </c>
    </row>
    <row r="177" customFormat="false" ht="12.8" hidden="false" customHeight="false" outlineLevel="0" collapsed="false">
      <c r="A177" s="2" t="n">
        <v>46088</v>
      </c>
      <c r="B177" s="0" t="s">
        <v>238</v>
      </c>
      <c r="C177" s="0" t="s">
        <v>234</v>
      </c>
      <c r="D177" s="0" t="s">
        <v>127</v>
      </c>
      <c r="E177" s="0" t="n">
        <v>5</v>
      </c>
      <c r="F177" s="3" t="n">
        <v>0.604166666666667</v>
      </c>
      <c r="G177" s="0" t="s">
        <v>240</v>
      </c>
      <c r="H177" s="0" t="s">
        <v>237</v>
      </c>
      <c r="I177" s="0" t="s">
        <v>130</v>
      </c>
      <c r="J177" s="0" t="s">
        <v>131</v>
      </c>
    </row>
    <row r="178" customFormat="false" ht="12.8" hidden="false" customHeight="false" outlineLevel="0" collapsed="false">
      <c r="A178" s="2" t="n">
        <v>46088</v>
      </c>
      <c r="B178" s="0" t="s">
        <v>239</v>
      </c>
      <c r="C178" s="0" t="s">
        <v>246</v>
      </c>
      <c r="D178" s="0" t="s">
        <v>127</v>
      </c>
      <c r="E178" s="0" t="n">
        <v>5</v>
      </c>
      <c r="F178" s="3" t="n">
        <v>0.604166666666667</v>
      </c>
      <c r="G178" s="0" t="s">
        <v>250</v>
      </c>
      <c r="H178" s="0" t="s">
        <v>237</v>
      </c>
      <c r="I178" s="0" t="s">
        <v>130</v>
      </c>
      <c r="J178" s="0" t="s">
        <v>131</v>
      </c>
    </row>
    <row r="179" customFormat="false" ht="12.8" hidden="false" customHeight="false" outlineLevel="0" collapsed="false">
      <c r="A179" s="2" t="n">
        <v>46088</v>
      </c>
      <c r="B179" s="0" t="s">
        <v>235</v>
      </c>
      <c r="C179" s="0" t="s">
        <v>247</v>
      </c>
      <c r="D179" s="0" t="s">
        <v>127</v>
      </c>
      <c r="E179" s="0" t="n">
        <v>5</v>
      </c>
      <c r="F179" s="3" t="n">
        <v>0.604166666666667</v>
      </c>
      <c r="G179" s="0" t="s">
        <v>251</v>
      </c>
      <c r="H179" s="0" t="s">
        <v>237</v>
      </c>
      <c r="I179" s="0" t="s">
        <v>130</v>
      </c>
      <c r="J179" s="0" t="s">
        <v>131</v>
      </c>
    </row>
    <row r="180" customFormat="false" ht="12.8" hidden="false" customHeight="false" outlineLevel="0" collapsed="false">
      <c r="A180" s="2" t="n">
        <v>46088</v>
      </c>
      <c r="B180" s="0" t="s">
        <v>242</v>
      </c>
      <c r="C180" s="0" t="s">
        <v>244</v>
      </c>
      <c r="D180" s="0" t="s">
        <v>127</v>
      </c>
      <c r="E180" s="0" t="n">
        <v>5</v>
      </c>
      <c r="F180" s="3" t="n">
        <v>0.604166666666667</v>
      </c>
      <c r="G180" s="0" t="s">
        <v>249</v>
      </c>
      <c r="H180" s="0" t="s">
        <v>237</v>
      </c>
      <c r="I180" s="0" t="s">
        <v>130</v>
      </c>
      <c r="J180" s="0" t="s">
        <v>131</v>
      </c>
    </row>
    <row r="181" customFormat="false" ht="12.8" hidden="false" customHeight="false" outlineLevel="0" collapsed="false">
      <c r="A181" s="2" t="n">
        <v>46088</v>
      </c>
      <c r="B181" s="0" t="s">
        <v>241</v>
      </c>
      <c r="C181" s="0" t="s">
        <v>243</v>
      </c>
      <c r="D181" s="0" t="s">
        <v>127</v>
      </c>
      <c r="E181" s="0" t="n">
        <v>5</v>
      </c>
      <c r="F181" s="3" t="n">
        <v>0.604166666666667</v>
      </c>
      <c r="G181" s="0" t="s">
        <v>198</v>
      </c>
      <c r="H181" s="0" t="s">
        <v>237</v>
      </c>
      <c r="I181" s="0" t="s">
        <v>130</v>
      </c>
      <c r="J181" s="0" t="s">
        <v>131</v>
      </c>
    </row>
    <row r="182" customFormat="false" ht="12.8" hidden="false" customHeight="false" outlineLevel="0" collapsed="false">
      <c r="A182" s="2" t="n">
        <v>46095</v>
      </c>
      <c r="B182" s="0" t="s">
        <v>234</v>
      </c>
      <c r="C182" s="0" t="s">
        <v>242</v>
      </c>
      <c r="D182" s="0" t="s">
        <v>127</v>
      </c>
      <c r="E182" s="0" t="n">
        <v>6</v>
      </c>
      <c r="F182" s="3" t="n">
        <v>0.583333333333333</v>
      </c>
      <c r="G182" s="0" t="s">
        <v>236</v>
      </c>
      <c r="H182" s="0" t="s">
        <v>237</v>
      </c>
      <c r="I182" s="0" t="s">
        <v>130</v>
      </c>
      <c r="J182" s="0" t="s">
        <v>131</v>
      </c>
    </row>
    <row r="183" customFormat="false" ht="12.8" hidden="false" customHeight="false" outlineLevel="0" collapsed="false">
      <c r="A183" s="2" t="n">
        <v>46095</v>
      </c>
      <c r="B183" s="0" t="s">
        <v>244</v>
      </c>
      <c r="C183" s="0" t="s">
        <v>235</v>
      </c>
      <c r="D183" s="0" t="s">
        <v>127</v>
      </c>
      <c r="E183" s="0" t="n">
        <v>6</v>
      </c>
      <c r="F183" s="3" t="n">
        <v>0.59375</v>
      </c>
      <c r="G183" s="0" t="s">
        <v>248</v>
      </c>
      <c r="H183" s="0" t="s">
        <v>237</v>
      </c>
      <c r="I183" s="0" t="s">
        <v>130</v>
      </c>
      <c r="J183" s="0" t="s">
        <v>131</v>
      </c>
    </row>
    <row r="184" customFormat="false" ht="12.8" hidden="false" customHeight="false" outlineLevel="0" collapsed="false">
      <c r="A184" s="2" t="n">
        <v>46095</v>
      </c>
      <c r="B184" s="0" t="s">
        <v>243</v>
      </c>
      <c r="C184" s="0" t="s">
        <v>238</v>
      </c>
      <c r="D184" s="0" t="s">
        <v>127</v>
      </c>
      <c r="E184" s="0" t="n">
        <v>6</v>
      </c>
      <c r="F184" s="3" t="n">
        <v>0.604166666666667</v>
      </c>
      <c r="G184" s="0" t="s">
        <v>245</v>
      </c>
      <c r="H184" s="0" t="s">
        <v>237</v>
      </c>
      <c r="I184" s="0" t="s">
        <v>130</v>
      </c>
      <c r="J184" s="0" t="s">
        <v>131</v>
      </c>
    </row>
    <row r="185" customFormat="false" ht="12.8" hidden="false" customHeight="false" outlineLevel="0" collapsed="false">
      <c r="A185" s="2" t="n">
        <v>46095</v>
      </c>
      <c r="B185" s="0" t="s">
        <v>246</v>
      </c>
      <c r="C185" s="0" t="s">
        <v>241</v>
      </c>
      <c r="D185" s="0" t="s">
        <v>127</v>
      </c>
      <c r="E185" s="0" t="n">
        <v>6</v>
      </c>
      <c r="F185" s="3" t="n">
        <v>0.645833333333333</v>
      </c>
      <c r="G185" s="0" t="s">
        <v>182</v>
      </c>
      <c r="H185" s="0" t="s">
        <v>237</v>
      </c>
      <c r="I185" s="0" t="s">
        <v>130</v>
      </c>
      <c r="J185" s="0" t="s">
        <v>131</v>
      </c>
    </row>
    <row r="186" customFormat="false" ht="12.8" hidden="false" customHeight="false" outlineLevel="0" collapsed="false">
      <c r="A186" s="2" t="n">
        <v>46095</v>
      </c>
      <c r="B186" s="0" t="s">
        <v>247</v>
      </c>
      <c r="C186" s="0" t="s">
        <v>239</v>
      </c>
      <c r="D186" s="0" t="s">
        <v>127</v>
      </c>
      <c r="E186" s="0" t="n">
        <v>6</v>
      </c>
      <c r="F186" s="3" t="n">
        <v>0.666666666666667</v>
      </c>
      <c r="G186" s="0" t="s">
        <v>198</v>
      </c>
      <c r="H186" s="0" t="s">
        <v>237</v>
      </c>
      <c r="I186" s="0" t="s">
        <v>130</v>
      </c>
      <c r="J186" s="0" t="s">
        <v>131</v>
      </c>
    </row>
    <row r="187" customFormat="false" ht="12.8" hidden="false" customHeight="false" outlineLevel="0" collapsed="false">
      <c r="A187" s="2" t="n">
        <v>46102</v>
      </c>
      <c r="B187" s="0" t="s">
        <v>234</v>
      </c>
      <c r="C187" s="0" t="s">
        <v>243</v>
      </c>
      <c r="D187" s="0" t="s">
        <v>127</v>
      </c>
      <c r="E187" s="0" t="n">
        <v>7</v>
      </c>
      <c r="F187" s="3" t="n">
        <v>0.583333333333333</v>
      </c>
      <c r="G187" s="0" t="s">
        <v>236</v>
      </c>
      <c r="H187" s="0" t="s">
        <v>237</v>
      </c>
      <c r="I187" s="0" t="s">
        <v>130</v>
      </c>
      <c r="J187" s="0" t="s">
        <v>131</v>
      </c>
    </row>
    <row r="188" customFormat="false" ht="12.8" hidden="false" customHeight="false" outlineLevel="0" collapsed="false">
      <c r="A188" s="2" t="n">
        <v>46102</v>
      </c>
      <c r="B188" s="0" t="s">
        <v>238</v>
      </c>
      <c r="C188" s="0" t="s">
        <v>246</v>
      </c>
      <c r="D188" s="0" t="s">
        <v>127</v>
      </c>
      <c r="E188" s="0" t="n">
        <v>7</v>
      </c>
      <c r="F188" s="3" t="n">
        <v>0.604166666666667</v>
      </c>
      <c r="G188" s="0" t="s">
        <v>240</v>
      </c>
      <c r="H188" s="0" t="s">
        <v>237</v>
      </c>
      <c r="I188" s="0" t="s">
        <v>130</v>
      </c>
      <c r="J188" s="0" t="s">
        <v>131</v>
      </c>
    </row>
    <row r="189" customFormat="false" ht="12.8" hidden="false" customHeight="false" outlineLevel="0" collapsed="false">
      <c r="A189" s="2" t="n">
        <v>46102</v>
      </c>
      <c r="B189" s="0" t="s">
        <v>239</v>
      </c>
      <c r="C189" s="0" t="s">
        <v>244</v>
      </c>
      <c r="D189" s="0" t="s">
        <v>127</v>
      </c>
      <c r="E189" s="0" t="n">
        <v>7</v>
      </c>
      <c r="F189" s="3" t="n">
        <v>0.604166666666667</v>
      </c>
      <c r="G189" s="0" t="s">
        <v>250</v>
      </c>
      <c r="H189" s="0" t="s">
        <v>237</v>
      </c>
      <c r="I189" s="0" t="s">
        <v>130</v>
      </c>
      <c r="J189" s="0" t="s">
        <v>131</v>
      </c>
    </row>
    <row r="190" customFormat="false" ht="12.8" hidden="false" customHeight="false" outlineLevel="0" collapsed="false">
      <c r="A190" s="2" t="n">
        <v>46102</v>
      </c>
      <c r="B190" s="0" t="s">
        <v>242</v>
      </c>
      <c r="C190" s="0" t="s">
        <v>235</v>
      </c>
      <c r="D190" s="0" t="s">
        <v>127</v>
      </c>
      <c r="E190" s="0" t="n">
        <v>7</v>
      </c>
      <c r="F190" s="3" t="n">
        <v>0.604166666666667</v>
      </c>
      <c r="G190" s="0" t="s">
        <v>249</v>
      </c>
      <c r="H190" s="0" t="s">
        <v>237</v>
      </c>
      <c r="I190" s="0" t="s">
        <v>130</v>
      </c>
      <c r="J190" s="0" t="s">
        <v>131</v>
      </c>
    </row>
    <row r="191" customFormat="false" ht="12.8" hidden="false" customHeight="false" outlineLevel="0" collapsed="false">
      <c r="A191" s="2" t="n">
        <v>46102</v>
      </c>
      <c r="B191" s="0" t="s">
        <v>241</v>
      </c>
      <c r="C191" s="0" t="s">
        <v>247</v>
      </c>
      <c r="D191" s="0" t="s">
        <v>127</v>
      </c>
      <c r="E191" s="0" t="n">
        <v>7</v>
      </c>
      <c r="F191" s="3" t="n">
        <v>0.604166666666667</v>
      </c>
      <c r="G191" s="0" t="s">
        <v>198</v>
      </c>
      <c r="H191" s="0" t="s">
        <v>237</v>
      </c>
      <c r="I191" s="0" t="s">
        <v>130</v>
      </c>
      <c r="J191" s="0" t="s">
        <v>131</v>
      </c>
    </row>
    <row r="192" customFormat="false" ht="12.8" hidden="false" customHeight="false" outlineLevel="0" collapsed="false">
      <c r="A192" s="2" t="n">
        <v>46109</v>
      </c>
      <c r="B192" s="0" t="s">
        <v>244</v>
      </c>
      <c r="C192" s="0" t="s">
        <v>241</v>
      </c>
      <c r="D192" s="0" t="s">
        <v>127</v>
      </c>
      <c r="E192" s="0" t="n">
        <v>8</v>
      </c>
      <c r="F192" s="3" t="n">
        <v>0.59375</v>
      </c>
      <c r="G192" s="0" t="s">
        <v>248</v>
      </c>
      <c r="H192" s="0" t="s">
        <v>237</v>
      </c>
      <c r="I192" s="0" t="s">
        <v>130</v>
      </c>
      <c r="J192" s="0" t="s">
        <v>131</v>
      </c>
    </row>
    <row r="193" customFormat="false" ht="12.8" hidden="false" customHeight="false" outlineLevel="0" collapsed="false">
      <c r="A193" s="2" t="n">
        <v>46109</v>
      </c>
      <c r="B193" s="0" t="s">
        <v>235</v>
      </c>
      <c r="C193" s="0" t="s">
        <v>239</v>
      </c>
      <c r="D193" s="0" t="s">
        <v>127</v>
      </c>
      <c r="E193" s="0" t="n">
        <v>8</v>
      </c>
      <c r="F193" s="3" t="n">
        <v>0.604166666666667</v>
      </c>
      <c r="G193" s="0" t="s">
        <v>251</v>
      </c>
      <c r="H193" s="0" t="s">
        <v>237</v>
      </c>
      <c r="I193" s="0" t="s">
        <v>130</v>
      </c>
      <c r="J193" s="0" t="s">
        <v>131</v>
      </c>
    </row>
    <row r="194" customFormat="false" ht="12.8" hidden="false" customHeight="false" outlineLevel="0" collapsed="false">
      <c r="A194" s="2" t="n">
        <v>46109</v>
      </c>
      <c r="B194" s="0" t="s">
        <v>242</v>
      </c>
      <c r="C194" s="0" t="s">
        <v>243</v>
      </c>
      <c r="D194" s="0" t="s">
        <v>127</v>
      </c>
      <c r="E194" s="0" t="n">
        <v>8</v>
      </c>
      <c r="F194" s="3" t="n">
        <v>0.604166666666667</v>
      </c>
      <c r="G194" s="0" t="s">
        <v>249</v>
      </c>
      <c r="H194" s="0" t="s">
        <v>237</v>
      </c>
      <c r="I194" s="0" t="s">
        <v>130</v>
      </c>
      <c r="J194" s="0" t="s">
        <v>131</v>
      </c>
    </row>
    <row r="195" customFormat="false" ht="12.8" hidden="false" customHeight="false" outlineLevel="0" collapsed="false">
      <c r="A195" s="2" t="n">
        <v>46109</v>
      </c>
      <c r="B195" s="0" t="s">
        <v>246</v>
      </c>
      <c r="C195" s="0" t="s">
        <v>234</v>
      </c>
      <c r="D195" s="0" t="s">
        <v>127</v>
      </c>
      <c r="E195" s="0" t="n">
        <v>8</v>
      </c>
      <c r="F195" s="3" t="n">
        <v>0.645833333333333</v>
      </c>
      <c r="G195" s="0" t="s">
        <v>182</v>
      </c>
      <c r="H195" s="0" t="s">
        <v>237</v>
      </c>
      <c r="I195" s="0" t="s">
        <v>130</v>
      </c>
      <c r="J195" s="0" t="s">
        <v>131</v>
      </c>
    </row>
    <row r="196" customFormat="false" ht="12.8" hidden="false" customHeight="false" outlineLevel="0" collapsed="false">
      <c r="A196" s="2" t="n">
        <v>46109</v>
      </c>
      <c r="B196" s="0" t="s">
        <v>247</v>
      </c>
      <c r="C196" s="0" t="s">
        <v>238</v>
      </c>
      <c r="D196" s="0" t="s">
        <v>127</v>
      </c>
      <c r="E196" s="0" t="n">
        <v>8</v>
      </c>
      <c r="F196" s="3" t="n">
        <v>0.666666666666667</v>
      </c>
      <c r="G196" s="0" t="s">
        <v>198</v>
      </c>
      <c r="H196" s="0" t="s">
        <v>237</v>
      </c>
      <c r="I196" s="0" t="s">
        <v>130</v>
      </c>
      <c r="J196" s="0" t="s">
        <v>131</v>
      </c>
    </row>
    <row r="197" customFormat="false" ht="12.8" hidden="false" customHeight="false" outlineLevel="0" collapsed="false">
      <c r="A197" s="2" t="n">
        <v>46123</v>
      </c>
      <c r="B197" s="0" t="s">
        <v>234</v>
      </c>
      <c r="C197" s="0" t="s">
        <v>247</v>
      </c>
      <c r="D197" s="0" t="s">
        <v>127</v>
      </c>
      <c r="E197" s="0" t="n">
        <v>9</v>
      </c>
      <c r="F197" s="3" t="n">
        <v>0.583333333333333</v>
      </c>
      <c r="G197" s="0" t="s">
        <v>236</v>
      </c>
      <c r="H197" s="0" t="s">
        <v>237</v>
      </c>
      <c r="I197" s="0" t="s">
        <v>130</v>
      </c>
      <c r="J197" s="0" t="s">
        <v>131</v>
      </c>
    </row>
    <row r="198" customFormat="false" ht="12.8" hidden="false" customHeight="false" outlineLevel="0" collapsed="false">
      <c r="A198" s="2" t="n">
        <v>46123</v>
      </c>
      <c r="B198" s="0" t="s">
        <v>238</v>
      </c>
      <c r="C198" s="0" t="s">
        <v>244</v>
      </c>
      <c r="D198" s="0" t="s">
        <v>127</v>
      </c>
      <c r="E198" s="0" t="n">
        <v>9</v>
      </c>
      <c r="F198" s="3" t="n">
        <v>0.604166666666667</v>
      </c>
      <c r="G198" s="0" t="s">
        <v>240</v>
      </c>
      <c r="H198" s="0" t="s">
        <v>237</v>
      </c>
      <c r="I198" s="0" t="s">
        <v>130</v>
      </c>
      <c r="J198" s="0" t="s">
        <v>131</v>
      </c>
    </row>
    <row r="199" customFormat="false" ht="12.8" hidden="false" customHeight="false" outlineLevel="0" collapsed="false">
      <c r="A199" s="2" t="n">
        <v>46123</v>
      </c>
      <c r="B199" s="0" t="s">
        <v>239</v>
      </c>
      <c r="C199" s="0" t="s">
        <v>242</v>
      </c>
      <c r="D199" s="0" t="s">
        <v>127</v>
      </c>
      <c r="E199" s="0" t="n">
        <v>9</v>
      </c>
      <c r="F199" s="3" t="n">
        <v>0.604166666666667</v>
      </c>
      <c r="G199" s="0" t="s">
        <v>250</v>
      </c>
      <c r="H199" s="0" t="s">
        <v>237</v>
      </c>
      <c r="I199" s="0" t="s">
        <v>130</v>
      </c>
      <c r="J199" s="0" t="s">
        <v>131</v>
      </c>
    </row>
    <row r="200" customFormat="false" ht="12.8" hidden="false" customHeight="false" outlineLevel="0" collapsed="false">
      <c r="A200" s="2" t="n">
        <v>46123</v>
      </c>
      <c r="B200" s="0" t="s">
        <v>241</v>
      </c>
      <c r="C200" s="0" t="s">
        <v>235</v>
      </c>
      <c r="D200" s="0" t="s">
        <v>127</v>
      </c>
      <c r="E200" s="0" t="n">
        <v>9</v>
      </c>
      <c r="F200" s="3" t="n">
        <v>0.604166666666667</v>
      </c>
      <c r="G200" s="0" t="s">
        <v>198</v>
      </c>
      <c r="H200" s="0" t="s">
        <v>237</v>
      </c>
      <c r="I200" s="0" t="s">
        <v>130</v>
      </c>
      <c r="J200" s="0" t="s">
        <v>131</v>
      </c>
    </row>
    <row r="201" customFormat="false" ht="12.8" hidden="false" customHeight="false" outlineLevel="0" collapsed="false">
      <c r="A201" s="2" t="n">
        <v>46123</v>
      </c>
      <c r="B201" s="0" t="s">
        <v>243</v>
      </c>
      <c r="C201" s="0" t="s">
        <v>246</v>
      </c>
      <c r="D201" s="0" t="s">
        <v>127</v>
      </c>
      <c r="E201" s="0" t="n">
        <v>9</v>
      </c>
      <c r="F201" s="3" t="n">
        <v>0.604166666666667</v>
      </c>
      <c r="G201" s="0" t="s">
        <v>245</v>
      </c>
      <c r="H201" s="0" t="s">
        <v>237</v>
      </c>
      <c r="I201" s="0" t="s">
        <v>130</v>
      </c>
      <c r="J201" s="0" t="s">
        <v>179</v>
      </c>
    </row>
    <row r="202" customFormat="false" ht="12.8" hidden="false" customHeight="false" outlineLevel="0" collapsed="false">
      <c r="A202" s="2" t="n">
        <v>46067</v>
      </c>
      <c r="B202" s="0" t="s">
        <v>252</v>
      </c>
      <c r="C202" s="0" t="s">
        <v>253</v>
      </c>
      <c r="D202" s="0" t="s">
        <v>127</v>
      </c>
      <c r="E202" s="0" t="n">
        <v>2</v>
      </c>
      <c r="F202" s="3" t="n">
        <v>0.583333333333333</v>
      </c>
      <c r="G202" s="0" t="s">
        <v>254</v>
      </c>
      <c r="H202" s="0" t="s">
        <v>255</v>
      </c>
      <c r="I202" s="0" t="s">
        <v>130</v>
      </c>
      <c r="J202" s="0" t="s">
        <v>131</v>
      </c>
    </row>
    <row r="203" customFormat="false" ht="12.8" hidden="false" customHeight="false" outlineLevel="0" collapsed="false">
      <c r="A203" s="2" t="n">
        <v>46067</v>
      </c>
      <c r="B203" s="0" t="s">
        <v>256</v>
      </c>
      <c r="C203" s="0" t="s">
        <v>257</v>
      </c>
      <c r="D203" s="0" t="s">
        <v>127</v>
      </c>
      <c r="E203" s="0" t="n">
        <v>2</v>
      </c>
      <c r="F203" s="3" t="n">
        <v>0.59375</v>
      </c>
      <c r="G203" s="0" t="s">
        <v>251</v>
      </c>
      <c r="H203" s="0" t="s">
        <v>255</v>
      </c>
      <c r="I203" s="0" t="s">
        <v>130</v>
      </c>
      <c r="J203" s="0" t="s">
        <v>131</v>
      </c>
    </row>
    <row r="204" customFormat="false" ht="12.8" hidden="false" customHeight="false" outlineLevel="0" collapsed="false">
      <c r="A204" s="2" t="n">
        <v>46067</v>
      </c>
      <c r="B204" s="0" t="s">
        <v>258</v>
      </c>
      <c r="C204" s="0" t="s">
        <v>259</v>
      </c>
      <c r="D204" s="0" t="s">
        <v>127</v>
      </c>
      <c r="E204" s="0" t="n">
        <v>2</v>
      </c>
      <c r="F204" s="3" t="n">
        <v>0.604166666666667</v>
      </c>
      <c r="G204" s="0" t="s">
        <v>260</v>
      </c>
      <c r="H204" s="0" t="s">
        <v>255</v>
      </c>
      <c r="I204" s="0" t="s">
        <v>130</v>
      </c>
      <c r="J204" s="0" t="s">
        <v>131</v>
      </c>
    </row>
    <row r="205" customFormat="false" ht="12.8" hidden="false" customHeight="false" outlineLevel="0" collapsed="false">
      <c r="A205" s="2" t="n">
        <v>46067</v>
      </c>
      <c r="B205" s="0" t="s">
        <v>261</v>
      </c>
      <c r="C205" s="0" t="s">
        <v>262</v>
      </c>
      <c r="D205" s="0" t="s">
        <v>127</v>
      </c>
      <c r="E205" s="0" t="n">
        <v>2</v>
      </c>
      <c r="F205" s="3" t="n">
        <v>0.604166666666667</v>
      </c>
      <c r="G205" s="0" t="s">
        <v>263</v>
      </c>
      <c r="H205" s="0" t="s">
        <v>255</v>
      </c>
      <c r="I205" s="0" t="s">
        <v>130</v>
      </c>
      <c r="J205" s="0" t="s">
        <v>131</v>
      </c>
    </row>
    <row r="206" customFormat="false" ht="12.8" hidden="false" customHeight="false" outlineLevel="0" collapsed="false">
      <c r="A206" s="2" t="n">
        <v>46068</v>
      </c>
      <c r="B206" s="0" t="s">
        <v>264</v>
      </c>
      <c r="C206" s="0" t="s">
        <v>265</v>
      </c>
      <c r="D206" s="0" t="s">
        <v>127</v>
      </c>
      <c r="E206" s="0" t="n">
        <v>2</v>
      </c>
      <c r="F206" s="3" t="n">
        <v>0.395833333333333</v>
      </c>
      <c r="G206" s="0" t="s">
        <v>266</v>
      </c>
      <c r="H206" s="0" t="s">
        <v>255</v>
      </c>
      <c r="I206" s="0" t="s">
        <v>130</v>
      </c>
      <c r="J206" s="0" t="s">
        <v>131</v>
      </c>
    </row>
    <row r="207" customFormat="false" ht="12.8" hidden="false" customHeight="false" outlineLevel="0" collapsed="false">
      <c r="A207" s="2" t="n">
        <v>46074</v>
      </c>
      <c r="B207" s="0" t="s">
        <v>253</v>
      </c>
      <c r="C207" s="0" t="s">
        <v>264</v>
      </c>
      <c r="D207" s="0" t="s">
        <v>127</v>
      </c>
      <c r="E207" s="0" t="n">
        <v>3</v>
      </c>
      <c r="F207" s="3" t="n">
        <v>0.583333333333333</v>
      </c>
      <c r="G207" s="0" t="s">
        <v>267</v>
      </c>
      <c r="H207" s="0" t="s">
        <v>255</v>
      </c>
      <c r="I207" s="0" t="s">
        <v>130</v>
      </c>
      <c r="J207" s="0" t="s">
        <v>131</v>
      </c>
    </row>
    <row r="208" customFormat="false" ht="12.8" hidden="false" customHeight="false" outlineLevel="0" collapsed="false">
      <c r="A208" s="2" t="n">
        <v>46074</v>
      </c>
      <c r="B208" s="0" t="s">
        <v>261</v>
      </c>
      <c r="C208" s="0" t="s">
        <v>258</v>
      </c>
      <c r="D208" s="0" t="s">
        <v>127</v>
      </c>
      <c r="E208" s="0" t="n">
        <v>3</v>
      </c>
      <c r="F208" s="3" t="n">
        <v>0.604166666666667</v>
      </c>
      <c r="G208" s="0" t="s">
        <v>263</v>
      </c>
      <c r="H208" s="0" t="s">
        <v>255</v>
      </c>
      <c r="I208" s="0" t="s">
        <v>130</v>
      </c>
      <c r="J208" s="0" t="s">
        <v>131</v>
      </c>
    </row>
    <row r="209" customFormat="false" ht="12.8" hidden="false" customHeight="false" outlineLevel="0" collapsed="false">
      <c r="A209" s="2" t="n">
        <v>46074</v>
      </c>
      <c r="B209" s="0" t="s">
        <v>259</v>
      </c>
      <c r="C209" s="0" t="s">
        <v>256</v>
      </c>
      <c r="D209" s="0" t="s">
        <v>127</v>
      </c>
      <c r="E209" s="0" t="n">
        <v>3</v>
      </c>
      <c r="F209" s="3" t="n">
        <v>0.604166666666667</v>
      </c>
      <c r="G209" s="0" t="s">
        <v>268</v>
      </c>
      <c r="H209" s="0" t="s">
        <v>255</v>
      </c>
      <c r="I209" s="0" t="s">
        <v>130</v>
      </c>
      <c r="J209" s="0" t="s">
        <v>131</v>
      </c>
    </row>
    <row r="210" customFormat="false" ht="12.8" hidden="false" customHeight="false" outlineLevel="0" collapsed="false">
      <c r="A210" s="2" t="n">
        <v>46074</v>
      </c>
      <c r="B210" s="0" t="s">
        <v>257</v>
      </c>
      <c r="C210" s="0" t="s">
        <v>252</v>
      </c>
      <c r="D210" s="0" t="s">
        <v>127</v>
      </c>
      <c r="E210" s="0" t="n">
        <v>3</v>
      </c>
      <c r="F210" s="3" t="n">
        <v>0.645833333333333</v>
      </c>
      <c r="G210" s="0" t="s">
        <v>269</v>
      </c>
      <c r="H210" s="0" t="s">
        <v>255</v>
      </c>
      <c r="I210" s="0" t="s">
        <v>130</v>
      </c>
      <c r="J210" s="0" t="s">
        <v>131</v>
      </c>
    </row>
    <row r="211" customFormat="false" ht="12.8" hidden="false" customHeight="false" outlineLevel="0" collapsed="false">
      <c r="A211" s="2" t="n">
        <v>46074</v>
      </c>
      <c r="B211" s="0" t="s">
        <v>262</v>
      </c>
      <c r="C211" s="0" t="s">
        <v>265</v>
      </c>
      <c r="D211" s="0" t="s">
        <v>127</v>
      </c>
      <c r="E211" s="0" t="n">
        <v>3</v>
      </c>
      <c r="F211" s="3" t="n">
        <v>0.645833333333333</v>
      </c>
      <c r="G211" s="0" t="s">
        <v>254</v>
      </c>
      <c r="H211" s="0" t="s">
        <v>255</v>
      </c>
      <c r="I211" s="0" t="s">
        <v>130</v>
      </c>
      <c r="J211" s="0" t="s">
        <v>131</v>
      </c>
    </row>
    <row r="212" customFormat="false" ht="12.8" hidden="false" customHeight="false" outlineLevel="0" collapsed="false">
      <c r="A212" s="2" t="n">
        <v>46081</v>
      </c>
      <c r="B212" s="0" t="s">
        <v>265</v>
      </c>
      <c r="C212" s="0" t="s">
        <v>253</v>
      </c>
      <c r="D212" s="0" t="s">
        <v>127</v>
      </c>
      <c r="E212" s="0" t="n">
        <v>4</v>
      </c>
      <c r="F212" s="3" t="n">
        <v>0.583333333333333</v>
      </c>
      <c r="G212" s="0" t="s">
        <v>270</v>
      </c>
      <c r="H212" s="0" t="s">
        <v>255</v>
      </c>
      <c r="I212" s="0" t="s">
        <v>130</v>
      </c>
      <c r="J212" s="0" t="s">
        <v>131</v>
      </c>
    </row>
    <row r="213" customFormat="false" ht="12.8" hidden="false" customHeight="false" outlineLevel="0" collapsed="false">
      <c r="A213" s="2" t="n">
        <v>46081</v>
      </c>
      <c r="B213" s="0" t="s">
        <v>256</v>
      </c>
      <c r="C213" s="0" t="s">
        <v>261</v>
      </c>
      <c r="D213" s="0" t="s">
        <v>127</v>
      </c>
      <c r="E213" s="0" t="n">
        <v>4</v>
      </c>
      <c r="F213" s="3" t="n">
        <v>0.59375</v>
      </c>
      <c r="G213" s="0" t="s">
        <v>251</v>
      </c>
      <c r="H213" s="0" t="s">
        <v>255</v>
      </c>
      <c r="I213" s="0" t="s">
        <v>130</v>
      </c>
      <c r="J213" s="0" t="s">
        <v>131</v>
      </c>
    </row>
    <row r="214" customFormat="false" ht="12.8" hidden="false" customHeight="false" outlineLevel="0" collapsed="false">
      <c r="A214" s="2" t="n">
        <v>46081</v>
      </c>
      <c r="B214" s="0" t="s">
        <v>258</v>
      </c>
      <c r="C214" s="0" t="s">
        <v>262</v>
      </c>
      <c r="D214" s="0" t="s">
        <v>127</v>
      </c>
      <c r="E214" s="0" t="n">
        <v>4</v>
      </c>
      <c r="F214" s="3" t="n">
        <v>0.604166666666667</v>
      </c>
      <c r="G214" s="0" t="s">
        <v>260</v>
      </c>
      <c r="H214" s="0" t="s">
        <v>255</v>
      </c>
      <c r="I214" s="0" t="s">
        <v>130</v>
      </c>
      <c r="J214" s="0" t="s">
        <v>131</v>
      </c>
    </row>
    <row r="215" customFormat="false" ht="12.8" hidden="false" customHeight="false" outlineLevel="0" collapsed="false">
      <c r="A215" s="2" t="n">
        <v>46081</v>
      </c>
      <c r="B215" s="0" t="s">
        <v>252</v>
      </c>
      <c r="C215" s="0" t="s">
        <v>259</v>
      </c>
      <c r="D215" s="0" t="s">
        <v>127</v>
      </c>
      <c r="E215" s="0" t="n">
        <v>4</v>
      </c>
      <c r="F215" s="3" t="n">
        <v>0.604166666666667</v>
      </c>
      <c r="G215" s="0" t="s">
        <v>254</v>
      </c>
      <c r="H215" s="0" t="s">
        <v>255</v>
      </c>
      <c r="I215" s="0" t="s">
        <v>130</v>
      </c>
      <c r="J215" s="0" t="s">
        <v>131</v>
      </c>
    </row>
    <row r="216" customFormat="false" ht="12.8" hidden="false" customHeight="false" outlineLevel="0" collapsed="false">
      <c r="A216" s="2" t="n">
        <v>46082</v>
      </c>
      <c r="B216" s="0" t="s">
        <v>264</v>
      </c>
      <c r="C216" s="0" t="s">
        <v>257</v>
      </c>
      <c r="D216" s="0" t="s">
        <v>127</v>
      </c>
      <c r="E216" s="0" t="n">
        <v>4</v>
      </c>
      <c r="F216" s="3" t="n">
        <v>0.395833333333333</v>
      </c>
      <c r="G216" s="0" t="s">
        <v>266</v>
      </c>
      <c r="H216" s="0" t="s">
        <v>255</v>
      </c>
      <c r="I216" s="0" t="s">
        <v>130</v>
      </c>
      <c r="J216" s="0" t="s">
        <v>131</v>
      </c>
    </row>
    <row r="217" customFormat="false" ht="12.8" hidden="false" customHeight="false" outlineLevel="0" collapsed="false">
      <c r="A217" s="2" t="n">
        <v>46088</v>
      </c>
      <c r="B217" s="0" t="s">
        <v>262</v>
      </c>
      <c r="C217" s="0" t="s">
        <v>253</v>
      </c>
      <c r="D217" s="0" t="s">
        <v>127</v>
      </c>
      <c r="E217" s="0" t="n">
        <v>5</v>
      </c>
      <c r="F217" s="3" t="n">
        <v>0.583333333333333</v>
      </c>
      <c r="G217" s="0" t="s">
        <v>254</v>
      </c>
      <c r="H217" s="0" t="s">
        <v>255</v>
      </c>
      <c r="I217" s="0" t="s">
        <v>130</v>
      </c>
      <c r="J217" s="0" t="s">
        <v>131</v>
      </c>
    </row>
    <row r="218" customFormat="false" ht="12.8" hidden="false" customHeight="false" outlineLevel="0" collapsed="false">
      <c r="A218" s="2" t="n">
        <v>46088</v>
      </c>
      <c r="B218" s="0" t="s">
        <v>259</v>
      </c>
      <c r="C218" s="0" t="s">
        <v>264</v>
      </c>
      <c r="D218" s="0" t="s">
        <v>127</v>
      </c>
      <c r="E218" s="0" t="n">
        <v>5</v>
      </c>
      <c r="F218" s="3" t="n">
        <v>0.604166666666667</v>
      </c>
      <c r="G218" s="0" t="s">
        <v>268</v>
      </c>
      <c r="H218" s="0" t="s">
        <v>255</v>
      </c>
      <c r="I218" s="0" t="s">
        <v>130</v>
      </c>
      <c r="J218" s="0" t="s">
        <v>131</v>
      </c>
    </row>
    <row r="219" customFormat="false" ht="12.8" hidden="false" customHeight="false" outlineLevel="0" collapsed="false">
      <c r="A219" s="2" t="n">
        <v>46088</v>
      </c>
      <c r="B219" s="0" t="s">
        <v>258</v>
      </c>
      <c r="C219" s="0" t="s">
        <v>256</v>
      </c>
      <c r="D219" s="0" t="s">
        <v>127</v>
      </c>
      <c r="E219" s="0" t="n">
        <v>5</v>
      </c>
      <c r="F219" s="3" t="n">
        <v>0.604166666666667</v>
      </c>
      <c r="G219" s="0" t="s">
        <v>260</v>
      </c>
      <c r="H219" s="0" t="s">
        <v>255</v>
      </c>
      <c r="I219" s="0" t="s">
        <v>130</v>
      </c>
      <c r="J219" s="0" t="s">
        <v>131</v>
      </c>
    </row>
    <row r="220" customFormat="false" ht="12.8" hidden="false" customHeight="false" outlineLevel="0" collapsed="false">
      <c r="A220" s="2" t="n">
        <v>46088</v>
      </c>
      <c r="B220" s="0" t="s">
        <v>261</v>
      </c>
      <c r="C220" s="0" t="s">
        <v>252</v>
      </c>
      <c r="D220" s="0" t="s">
        <v>127</v>
      </c>
      <c r="E220" s="0" t="n">
        <v>5</v>
      </c>
      <c r="F220" s="3" t="n">
        <v>0.604166666666667</v>
      </c>
      <c r="G220" s="0" t="s">
        <v>263</v>
      </c>
      <c r="H220" s="0" t="s">
        <v>255</v>
      </c>
      <c r="I220" s="0" t="s">
        <v>130</v>
      </c>
      <c r="J220" s="0" t="s">
        <v>131</v>
      </c>
    </row>
    <row r="221" customFormat="false" ht="12.8" hidden="false" customHeight="false" outlineLevel="0" collapsed="false">
      <c r="A221" s="2" t="n">
        <v>46088</v>
      </c>
      <c r="B221" s="0" t="s">
        <v>257</v>
      </c>
      <c r="C221" s="0" t="s">
        <v>265</v>
      </c>
      <c r="D221" s="0" t="s">
        <v>127</v>
      </c>
      <c r="E221" s="0" t="n">
        <v>5</v>
      </c>
      <c r="F221" s="3" t="n">
        <v>0.645833333333333</v>
      </c>
      <c r="G221" s="0" t="s">
        <v>269</v>
      </c>
      <c r="H221" s="0" t="s">
        <v>255</v>
      </c>
      <c r="I221" s="0" t="s">
        <v>130</v>
      </c>
      <c r="J221" s="0" t="s">
        <v>131</v>
      </c>
    </row>
    <row r="222" customFormat="false" ht="12.8" hidden="false" customHeight="false" outlineLevel="0" collapsed="false">
      <c r="A222" s="2" t="n">
        <v>46095</v>
      </c>
      <c r="B222" s="0" t="s">
        <v>253</v>
      </c>
      <c r="C222" s="0" t="s">
        <v>257</v>
      </c>
      <c r="D222" s="0" t="s">
        <v>127</v>
      </c>
      <c r="E222" s="0" t="n">
        <v>6</v>
      </c>
      <c r="F222" s="3" t="n">
        <v>0.583333333333333</v>
      </c>
      <c r="G222" s="0" t="s">
        <v>267</v>
      </c>
      <c r="H222" s="0" t="s">
        <v>255</v>
      </c>
      <c r="I222" s="0" t="s">
        <v>130</v>
      </c>
      <c r="J222" s="0" t="s">
        <v>131</v>
      </c>
    </row>
    <row r="223" customFormat="false" ht="12.8" hidden="false" customHeight="false" outlineLevel="0" collapsed="false">
      <c r="A223" s="2" t="n">
        <v>46095</v>
      </c>
      <c r="B223" s="0" t="s">
        <v>256</v>
      </c>
      <c r="C223" s="0" t="s">
        <v>262</v>
      </c>
      <c r="D223" s="0" t="s">
        <v>127</v>
      </c>
      <c r="E223" s="0" t="n">
        <v>6</v>
      </c>
      <c r="F223" s="3" t="n">
        <v>0.59375</v>
      </c>
      <c r="G223" s="0" t="s">
        <v>251</v>
      </c>
      <c r="H223" s="0" t="s">
        <v>255</v>
      </c>
      <c r="I223" s="0" t="s">
        <v>130</v>
      </c>
      <c r="J223" s="0" t="s">
        <v>131</v>
      </c>
    </row>
    <row r="224" customFormat="false" ht="12.8" hidden="false" customHeight="false" outlineLevel="0" collapsed="false">
      <c r="A224" s="2" t="n">
        <v>46095</v>
      </c>
      <c r="B224" s="0" t="s">
        <v>265</v>
      </c>
      <c r="C224" s="0" t="s">
        <v>259</v>
      </c>
      <c r="D224" s="0" t="s">
        <v>127</v>
      </c>
      <c r="E224" s="0" t="n">
        <v>6</v>
      </c>
      <c r="F224" s="3" t="n">
        <v>0.604166666666667</v>
      </c>
      <c r="G224" s="0" t="s">
        <v>270</v>
      </c>
      <c r="H224" s="0" t="s">
        <v>255</v>
      </c>
      <c r="I224" s="0" t="s">
        <v>130</v>
      </c>
      <c r="J224" s="0" t="s">
        <v>131</v>
      </c>
    </row>
    <row r="225" customFormat="false" ht="12.8" hidden="false" customHeight="false" outlineLevel="0" collapsed="false">
      <c r="A225" s="2" t="n">
        <v>46095</v>
      </c>
      <c r="B225" s="0" t="s">
        <v>252</v>
      </c>
      <c r="C225" s="0" t="s">
        <v>258</v>
      </c>
      <c r="D225" s="0" t="s">
        <v>127</v>
      </c>
      <c r="E225" s="0" t="n">
        <v>6</v>
      </c>
      <c r="F225" s="3" t="n">
        <v>0.604166666666667</v>
      </c>
      <c r="G225" s="0" t="s">
        <v>254</v>
      </c>
      <c r="H225" s="0" t="s">
        <v>255</v>
      </c>
      <c r="I225" s="0" t="s">
        <v>130</v>
      </c>
      <c r="J225" s="0" t="s">
        <v>131</v>
      </c>
    </row>
    <row r="226" customFormat="false" ht="12.8" hidden="false" customHeight="false" outlineLevel="0" collapsed="false">
      <c r="A226" s="2" t="n">
        <v>46096</v>
      </c>
      <c r="B226" s="0" t="s">
        <v>264</v>
      </c>
      <c r="C226" s="0" t="s">
        <v>261</v>
      </c>
      <c r="D226" s="0" t="s">
        <v>127</v>
      </c>
      <c r="E226" s="0" t="n">
        <v>6</v>
      </c>
      <c r="F226" s="3" t="n">
        <v>0.395833333333333</v>
      </c>
      <c r="G226" s="0" t="s">
        <v>266</v>
      </c>
      <c r="H226" s="0" t="s">
        <v>255</v>
      </c>
      <c r="I226" s="0" t="s">
        <v>130</v>
      </c>
      <c r="J226" s="0" t="s">
        <v>131</v>
      </c>
    </row>
    <row r="227" customFormat="false" ht="12.8" hidden="false" customHeight="false" outlineLevel="0" collapsed="false">
      <c r="A227" s="2" t="n">
        <v>46102</v>
      </c>
      <c r="B227" s="0" t="s">
        <v>259</v>
      </c>
      <c r="C227" s="0" t="s">
        <v>253</v>
      </c>
      <c r="D227" s="0" t="s">
        <v>127</v>
      </c>
      <c r="E227" s="0" t="n">
        <v>7</v>
      </c>
      <c r="F227" s="3" t="n">
        <v>0.583333333333333</v>
      </c>
      <c r="G227" s="0" t="s">
        <v>268</v>
      </c>
      <c r="H227" s="0" t="s">
        <v>255</v>
      </c>
      <c r="I227" s="0" t="s">
        <v>130</v>
      </c>
      <c r="J227" s="0" t="s">
        <v>131</v>
      </c>
    </row>
    <row r="228" customFormat="false" ht="12.8" hidden="false" customHeight="false" outlineLevel="0" collapsed="false">
      <c r="A228" s="2" t="n">
        <v>46102</v>
      </c>
      <c r="B228" s="0" t="s">
        <v>256</v>
      </c>
      <c r="C228" s="0" t="s">
        <v>252</v>
      </c>
      <c r="D228" s="0" t="s">
        <v>127</v>
      </c>
      <c r="E228" s="0" t="n">
        <v>7</v>
      </c>
      <c r="F228" s="3" t="n">
        <v>0.59375</v>
      </c>
      <c r="G228" s="0" t="s">
        <v>251</v>
      </c>
      <c r="H228" s="0" t="s">
        <v>255</v>
      </c>
      <c r="I228" s="0" t="s">
        <v>130</v>
      </c>
      <c r="J228" s="0" t="s">
        <v>131</v>
      </c>
    </row>
    <row r="229" customFormat="false" ht="12.8" hidden="false" customHeight="false" outlineLevel="0" collapsed="false">
      <c r="A229" s="2" t="n">
        <v>46102</v>
      </c>
      <c r="B229" s="0" t="s">
        <v>261</v>
      </c>
      <c r="C229" s="0" t="s">
        <v>265</v>
      </c>
      <c r="D229" s="0" t="s">
        <v>127</v>
      </c>
      <c r="E229" s="0" t="n">
        <v>7</v>
      </c>
      <c r="F229" s="3" t="n">
        <v>0.604166666666667</v>
      </c>
      <c r="G229" s="0" t="s">
        <v>263</v>
      </c>
      <c r="H229" s="0" t="s">
        <v>255</v>
      </c>
      <c r="I229" s="0" t="s">
        <v>130</v>
      </c>
      <c r="J229" s="0" t="s">
        <v>131</v>
      </c>
    </row>
    <row r="230" customFormat="false" ht="12.8" hidden="false" customHeight="false" outlineLevel="0" collapsed="false">
      <c r="A230" s="2" t="n">
        <v>46102</v>
      </c>
      <c r="B230" s="0" t="s">
        <v>258</v>
      </c>
      <c r="C230" s="0" t="s">
        <v>264</v>
      </c>
      <c r="D230" s="0" t="s">
        <v>127</v>
      </c>
      <c r="E230" s="0" t="n">
        <v>7</v>
      </c>
      <c r="F230" s="3" t="n">
        <v>0.604166666666667</v>
      </c>
      <c r="G230" s="0" t="s">
        <v>260</v>
      </c>
      <c r="H230" s="0" t="s">
        <v>255</v>
      </c>
      <c r="I230" s="0" t="s">
        <v>130</v>
      </c>
      <c r="J230" s="0" t="s">
        <v>131</v>
      </c>
    </row>
    <row r="231" customFormat="false" ht="12.8" hidden="false" customHeight="false" outlineLevel="0" collapsed="false">
      <c r="A231" s="2" t="n">
        <v>46102</v>
      </c>
      <c r="B231" s="0" t="s">
        <v>262</v>
      </c>
      <c r="C231" s="0" t="s">
        <v>257</v>
      </c>
      <c r="D231" s="0" t="s">
        <v>127</v>
      </c>
      <c r="E231" s="0" t="n">
        <v>7</v>
      </c>
      <c r="F231" s="3" t="n">
        <v>0.645833333333333</v>
      </c>
      <c r="G231" s="0" t="s">
        <v>254</v>
      </c>
      <c r="H231" s="0" t="s">
        <v>255</v>
      </c>
      <c r="I231" s="0" t="s">
        <v>130</v>
      </c>
      <c r="J231" s="0" t="s">
        <v>131</v>
      </c>
    </row>
    <row r="232" customFormat="false" ht="12.8" hidden="false" customHeight="false" outlineLevel="0" collapsed="false">
      <c r="A232" s="2" t="n">
        <v>46109</v>
      </c>
      <c r="B232" s="0" t="s">
        <v>253</v>
      </c>
      <c r="C232" s="0" t="s">
        <v>261</v>
      </c>
      <c r="D232" s="0" t="s">
        <v>127</v>
      </c>
      <c r="E232" s="0" t="n">
        <v>8</v>
      </c>
      <c r="F232" s="3" t="n">
        <v>0.583333333333333</v>
      </c>
      <c r="G232" s="0" t="s">
        <v>267</v>
      </c>
      <c r="H232" s="0" t="s">
        <v>255</v>
      </c>
      <c r="I232" s="0" t="s">
        <v>130</v>
      </c>
      <c r="J232" s="0" t="s">
        <v>131</v>
      </c>
    </row>
    <row r="233" customFormat="false" ht="12.8" hidden="false" customHeight="false" outlineLevel="0" collapsed="false">
      <c r="A233" s="2" t="n">
        <v>46109</v>
      </c>
      <c r="B233" s="0" t="s">
        <v>265</v>
      </c>
      <c r="C233" s="0" t="s">
        <v>258</v>
      </c>
      <c r="D233" s="0" t="s">
        <v>127</v>
      </c>
      <c r="E233" s="0" t="n">
        <v>8</v>
      </c>
      <c r="F233" s="3" t="n">
        <v>0.604166666666667</v>
      </c>
      <c r="G233" s="0" t="s">
        <v>270</v>
      </c>
      <c r="H233" s="0" t="s">
        <v>255</v>
      </c>
      <c r="I233" s="0" t="s">
        <v>130</v>
      </c>
      <c r="J233" s="0" t="s">
        <v>131</v>
      </c>
    </row>
    <row r="234" customFormat="false" ht="12.8" hidden="false" customHeight="false" outlineLevel="0" collapsed="false">
      <c r="A234" s="2" t="n">
        <v>46109</v>
      </c>
      <c r="B234" s="0" t="s">
        <v>262</v>
      </c>
      <c r="C234" s="0" t="s">
        <v>252</v>
      </c>
      <c r="D234" s="0" t="s">
        <v>127</v>
      </c>
      <c r="E234" s="0" t="n">
        <v>8</v>
      </c>
      <c r="F234" s="3" t="n">
        <v>0.645833333333333</v>
      </c>
      <c r="G234" s="0" t="s">
        <v>254</v>
      </c>
      <c r="H234" s="0" t="s">
        <v>255</v>
      </c>
      <c r="I234" s="0" t="s">
        <v>130</v>
      </c>
      <c r="J234" s="0" t="s">
        <v>131</v>
      </c>
    </row>
    <row r="235" customFormat="false" ht="12.8" hidden="false" customHeight="false" outlineLevel="0" collapsed="false">
      <c r="A235" s="2" t="n">
        <v>46109</v>
      </c>
      <c r="B235" s="0" t="s">
        <v>257</v>
      </c>
      <c r="C235" s="0" t="s">
        <v>259</v>
      </c>
      <c r="D235" s="0" t="s">
        <v>127</v>
      </c>
      <c r="E235" s="0" t="n">
        <v>8</v>
      </c>
      <c r="F235" s="3" t="n">
        <v>0.645833333333333</v>
      </c>
      <c r="G235" s="0" t="s">
        <v>269</v>
      </c>
      <c r="H235" s="0" t="s">
        <v>255</v>
      </c>
      <c r="I235" s="0" t="s">
        <v>130</v>
      </c>
      <c r="J235" s="0" t="s">
        <v>131</v>
      </c>
    </row>
    <row r="236" customFormat="false" ht="12.8" hidden="false" customHeight="false" outlineLevel="0" collapsed="false">
      <c r="A236" s="2" t="n">
        <v>46110</v>
      </c>
      <c r="B236" s="0" t="s">
        <v>264</v>
      </c>
      <c r="C236" s="0" t="s">
        <v>256</v>
      </c>
      <c r="D236" s="0" t="s">
        <v>127</v>
      </c>
      <c r="E236" s="0" t="n">
        <v>8</v>
      </c>
      <c r="F236" s="3" t="n">
        <v>0.395833333333333</v>
      </c>
      <c r="G236" s="0" t="s">
        <v>266</v>
      </c>
      <c r="H236" s="0" t="s">
        <v>255</v>
      </c>
      <c r="I236" s="0" t="s">
        <v>130</v>
      </c>
      <c r="J236" s="0" t="s">
        <v>131</v>
      </c>
    </row>
    <row r="237" customFormat="false" ht="12.8" hidden="false" customHeight="false" outlineLevel="0" collapsed="false">
      <c r="A237" s="2" t="n">
        <v>46123</v>
      </c>
      <c r="B237" s="0" t="s">
        <v>258</v>
      </c>
      <c r="C237" s="0" t="s">
        <v>253</v>
      </c>
      <c r="D237" s="0" t="s">
        <v>127</v>
      </c>
      <c r="E237" s="0" t="n">
        <v>9</v>
      </c>
      <c r="F237" s="3" t="n">
        <v>0.583333333333333</v>
      </c>
      <c r="G237" s="0" t="s">
        <v>260</v>
      </c>
      <c r="H237" s="0" t="s">
        <v>255</v>
      </c>
      <c r="I237" s="0" t="s">
        <v>130</v>
      </c>
      <c r="J237" s="0" t="s">
        <v>131</v>
      </c>
    </row>
    <row r="238" customFormat="false" ht="12.8" hidden="false" customHeight="false" outlineLevel="0" collapsed="false">
      <c r="A238" s="2" t="n">
        <v>46123</v>
      </c>
      <c r="B238" s="0" t="s">
        <v>256</v>
      </c>
      <c r="C238" s="0" t="s">
        <v>265</v>
      </c>
      <c r="D238" s="0" t="s">
        <v>127</v>
      </c>
      <c r="E238" s="0" t="n">
        <v>9</v>
      </c>
      <c r="F238" s="3" t="n">
        <v>0.59375</v>
      </c>
      <c r="G238" s="0" t="s">
        <v>251</v>
      </c>
      <c r="H238" s="0" t="s">
        <v>255</v>
      </c>
      <c r="I238" s="0" t="s">
        <v>130</v>
      </c>
      <c r="J238" s="0" t="s">
        <v>131</v>
      </c>
    </row>
    <row r="239" customFormat="false" ht="12.8" hidden="false" customHeight="false" outlineLevel="0" collapsed="false">
      <c r="A239" s="2" t="n">
        <v>46123</v>
      </c>
      <c r="B239" s="0" t="s">
        <v>261</v>
      </c>
      <c r="C239" s="0" t="s">
        <v>257</v>
      </c>
      <c r="D239" s="0" t="s">
        <v>127</v>
      </c>
      <c r="E239" s="0" t="n">
        <v>9</v>
      </c>
      <c r="F239" s="3" t="n">
        <v>0.604166666666667</v>
      </c>
      <c r="G239" s="0" t="s">
        <v>263</v>
      </c>
      <c r="H239" s="0" t="s">
        <v>255</v>
      </c>
      <c r="I239" s="0" t="s">
        <v>130</v>
      </c>
      <c r="J239" s="0" t="s">
        <v>131</v>
      </c>
    </row>
    <row r="240" customFormat="false" ht="12.8" hidden="false" customHeight="false" outlineLevel="0" collapsed="false">
      <c r="A240" s="2" t="n">
        <v>46123</v>
      </c>
      <c r="B240" s="0" t="s">
        <v>259</v>
      </c>
      <c r="C240" s="0" t="s">
        <v>262</v>
      </c>
      <c r="D240" s="0" t="s">
        <v>127</v>
      </c>
      <c r="E240" s="0" t="n">
        <v>9</v>
      </c>
      <c r="F240" s="3" t="n">
        <v>0.604166666666667</v>
      </c>
      <c r="G240" s="0" t="s">
        <v>268</v>
      </c>
      <c r="H240" s="0" t="s">
        <v>255</v>
      </c>
      <c r="I240" s="0" t="s">
        <v>130</v>
      </c>
      <c r="J240" s="0" t="s">
        <v>131</v>
      </c>
    </row>
    <row r="241" customFormat="false" ht="12.8" hidden="false" customHeight="false" outlineLevel="0" collapsed="false">
      <c r="A241" s="2" t="n">
        <v>46123</v>
      </c>
      <c r="B241" s="0" t="s">
        <v>252</v>
      </c>
      <c r="C241" s="0" t="s">
        <v>264</v>
      </c>
      <c r="D241" s="0" t="s">
        <v>127</v>
      </c>
      <c r="E241" s="0" t="n">
        <v>9</v>
      </c>
      <c r="F241" s="3" t="n">
        <v>0.604166666666667</v>
      </c>
      <c r="G241" s="0" t="s">
        <v>254</v>
      </c>
      <c r="H241" s="0" t="s">
        <v>255</v>
      </c>
      <c r="I241" s="0" t="s">
        <v>130</v>
      </c>
      <c r="J241" s="0" t="s">
        <v>179</v>
      </c>
    </row>
    <row r="242" customFormat="false" ht="12.8" hidden="false" customHeight="false" outlineLevel="0" collapsed="false">
      <c r="A242" s="2" t="n">
        <v>46067</v>
      </c>
      <c r="B242" s="0" t="s">
        <v>271</v>
      </c>
      <c r="C242" s="0" t="s">
        <v>272</v>
      </c>
      <c r="D242" s="0" t="s">
        <v>127</v>
      </c>
      <c r="E242" s="0" t="n">
        <v>2</v>
      </c>
      <c r="F242" s="3" t="n">
        <v>0.604166666666667</v>
      </c>
      <c r="G242" s="0" t="s">
        <v>273</v>
      </c>
      <c r="H242" s="0" t="s">
        <v>71</v>
      </c>
      <c r="I242" s="0" t="s">
        <v>204</v>
      </c>
      <c r="J242" s="0" t="s">
        <v>18</v>
      </c>
    </row>
    <row r="243" customFormat="false" ht="12.8" hidden="false" customHeight="false" outlineLevel="0" collapsed="false">
      <c r="A243" s="2" t="n">
        <v>46067</v>
      </c>
      <c r="B243" s="0" t="s">
        <v>274</v>
      </c>
      <c r="C243" s="0" t="s">
        <v>102</v>
      </c>
      <c r="D243" s="0" t="s">
        <v>127</v>
      </c>
      <c r="E243" s="0" t="n">
        <v>2</v>
      </c>
      <c r="F243" s="3" t="n">
        <v>0.604166666666667</v>
      </c>
      <c r="G243" s="0" t="s">
        <v>275</v>
      </c>
      <c r="H243" s="0" t="s">
        <v>71</v>
      </c>
      <c r="I243" s="0" t="s">
        <v>204</v>
      </c>
      <c r="J243" s="0" t="s">
        <v>18</v>
      </c>
    </row>
    <row r="244" customFormat="false" ht="12.8" hidden="false" customHeight="false" outlineLevel="0" collapsed="false">
      <c r="A244" s="2" t="n">
        <v>46067</v>
      </c>
      <c r="B244" s="0" t="s">
        <v>105</v>
      </c>
      <c r="C244" s="0" t="s">
        <v>276</v>
      </c>
      <c r="D244" s="0" t="s">
        <v>127</v>
      </c>
      <c r="E244" s="0" t="n">
        <v>2</v>
      </c>
      <c r="F244" s="3" t="n">
        <v>0.625</v>
      </c>
      <c r="G244" s="0" t="s">
        <v>277</v>
      </c>
      <c r="H244" s="0" t="s">
        <v>71</v>
      </c>
      <c r="I244" s="0" t="s">
        <v>204</v>
      </c>
      <c r="J244" s="0" t="s">
        <v>18</v>
      </c>
    </row>
    <row r="245" customFormat="false" ht="12.8" hidden="false" customHeight="false" outlineLevel="0" collapsed="false">
      <c r="A245" s="2" t="n">
        <v>46068</v>
      </c>
      <c r="B245" s="0" t="s">
        <v>99</v>
      </c>
      <c r="C245" s="0" t="s">
        <v>278</v>
      </c>
      <c r="D245" s="0" t="s">
        <v>127</v>
      </c>
      <c r="E245" s="0" t="n">
        <v>2</v>
      </c>
      <c r="F245" s="3" t="n">
        <v>0.666666666666667</v>
      </c>
      <c r="G245" s="0" t="s">
        <v>279</v>
      </c>
      <c r="H245" s="0" t="s">
        <v>71</v>
      </c>
      <c r="I245" s="0" t="s">
        <v>204</v>
      </c>
      <c r="J245" s="0" t="s">
        <v>18</v>
      </c>
    </row>
    <row r="246" customFormat="false" ht="12.8" hidden="false" customHeight="false" outlineLevel="0" collapsed="false">
      <c r="A246" s="2" t="n">
        <v>46069</v>
      </c>
      <c r="B246" s="0" t="s">
        <v>280</v>
      </c>
      <c r="C246" s="0" t="s">
        <v>281</v>
      </c>
      <c r="D246" s="0" t="s">
        <v>127</v>
      </c>
      <c r="E246" s="0" t="n">
        <v>2</v>
      </c>
      <c r="F246" s="3" t="n">
        <v>0.708333333333333</v>
      </c>
      <c r="G246" s="0" t="s">
        <v>282</v>
      </c>
      <c r="H246" s="0" t="s">
        <v>71</v>
      </c>
      <c r="I246" s="0" t="s">
        <v>204</v>
      </c>
      <c r="J246" s="0" t="s">
        <v>18</v>
      </c>
    </row>
    <row r="247" customFormat="false" ht="12.8" hidden="false" customHeight="false" outlineLevel="0" collapsed="false">
      <c r="A247" s="2" t="n">
        <v>46074</v>
      </c>
      <c r="B247" s="0" t="s">
        <v>281</v>
      </c>
      <c r="C247" s="0" t="s">
        <v>105</v>
      </c>
      <c r="D247" s="0" t="s">
        <v>127</v>
      </c>
      <c r="E247" s="0" t="n">
        <v>3</v>
      </c>
      <c r="F247" s="3" t="n">
        <v>0.583333333333333</v>
      </c>
      <c r="G247" s="0" t="s">
        <v>283</v>
      </c>
      <c r="H247" s="0" t="s">
        <v>71</v>
      </c>
      <c r="I247" s="0" t="s">
        <v>204</v>
      </c>
      <c r="J247" s="0" t="s">
        <v>18</v>
      </c>
    </row>
    <row r="248" customFormat="false" ht="12.8" hidden="false" customHeight="false" outlineLevel="0" collapsed="false">
      <c r="A248" s="2" t="n">
        <v>46074</v>
      </c>
      <c r="B248" s="0" t="s">
        <v>278</v>
      </c>
      <c r="C248" s="0" t="s">
        <v>276</v>
      </c>
      <c r="D248" s="0" t="s">
        <v>127</v>
      </c>
      <c r="E248" s="0" t="n">
        <v>3</v>
      </c>
      <c r="F248" s="3" t="n">
        <v>0.604166666666667</v>
      </c>
      <c r="G248" s="0" t="s">
        <v>284</v>
      </c>
      <c r="H248" s="0" t="s">
        <v>71</v>
      </c>
      <c r="I248" s="0" t="s">
        <v>204</v>
      </c>
      <c r="J248" s="0" t="s">
        <v>18</v>
      </c>
    </row>
    <row r="249" customFormat="false" ht="12.8" hidden="false" customHeight="false" outlineLevel="0" collapsed="false">
      <c r="A249" s="2" t="n">
        <v>46074</v>
      </c>
      <c r="B249" s="0" t="s">
        <v>102</v>
      </c>
      <c r="C249" s="0" t="s">
        <v>280</v>
      </c>
      <c r="D249" s="0" t="s">
        <v>127</v>
      </c>
      <c r="E249" s="0" t="n">
        <v>3</v>
      </c>
      <c r="F249" s="3" t="n">
        <v>0.625</v>
      </c>
      <c r="G249" s="0" t="s">
        <v>279</v>
      </c>
      <c r="H249" s="0" t="s">
        <v>71</v>
      </c>
      <c r="I249" s="0" t="s">
        <v>204</v>
      </c>
      <c r="J249" s="0" t="s">
        <v>18</v>
      </c>
    </row>
    <row r="250" customFormat="false" ht="12.8" hidden="false" customHeight="false" outlineLevel="0" collapsed="false">
      <c r="A250" s="2" t="n">
        <v>46074</v>
      </c>
      <c r="B250" s="0" t="s">
        <v>272</v>
      </c>
      <c r="C250" s="0" t="s">
        <v>274</v>
      </c>
      <c r="D250" s="0" t="s">
        <v>127</v>
      </c>
      <c r="E250" s="0" t="n">
        <v>3</v>
      </c>
      <c r="F250" s="3" t="n">
        <v>0.645833333333333</v>
      </c>
      <c r="G250" s="0" t="s">
        <v>284</v>
      </c>
      <c r="H250" s="0" t="s">
        <v>71</v>
      </c>
      <c r="I250" s="0" t="s">
        <v>204</v>
      </c>
      <c r="J250" s="0" t="s">
        <v>18</v>
      </c>
    </row>
    <row r="251" customFormat="false" ht="12.8" hidden="false" customHeight="false" outlineLevel="0" collapsed="false">
      <c r="A251" s="2" t="n">
        <v>46075</v>
      </c>
      <c r="B251" s="0" t="s">
        <v>99</v>
      </c>
      <c r="C251" s="0" t="s">
        <v>271</v>
      </c>
      <c r="D251" s="0" t="s">
        <v>127</v>
      </c>
      <c r="E251" s="0" t="n">
        <v>3</v>
      </c>
      <c r="F251" s="3" t="n">
        <v>0.666666666666667</v>
      </c>
      <c r="G251" s="0" t="s">
        <v>279</v>
      </c>
      <c r="H251" s="0" t="s">
        <v>71</v>
      </c>
      <c r="I251" s="0" t="s">
        <v>204</v>
      </c>
      <c r="J251" s="0" t="s">
        <v>18</v>
      </c>
    </row>
    <row r="252" customFormat="false" ht="12.8" hidden="false" customHeight="false" outlineLevel="0" collapsed="false">
      <c r="A252" s="2" t="n">
        <v>46081</v>
      </c>
      <c r="B252" s="0" t="s">
        <v>274</v>
      </c>
      <c r="C252" s="0" t="s">
        <v>99</v>
      </c>
      <c r="D252" s="0" t="s">
        <v>127</v>
      </c>
      <c r="E252" s="0" t="n">
        <v>4</v>
      </c>
      <c r="F252" s="3" t="n">
        <v>0.604166666666667</v>
      </c>
      <c r="G252" s="0" t="s">
        <v>275</v>
      </c>
      <c r="H252" s="0" t="s">
        <v>71</v>
      </c>
      <c r="I252" s="0" t="s">
        <v>204</v>
      </c>
      <c r="J252" s="0" t="s">
        <v>18</v>
      </c>
    </row>
    <row r="253" customFormat="false" ht="12.8" hidden="false" customHeight="false" outlineLevel="0" collapsed="false">
      <c r="A253" s="2" t="n">
        <v>46081</v>
      </c>
      <c r="B253" s="0" t="s">
        <v>271</v>
      </c>
      <c r="C253" s="0" t="s">
        <v>278</v>
      </c>
      <c r="D253" s="0" t="s">
        <v>127</v>
      </c>
      <c r="E253" s="0" t="n">
        <v>4</v>
      </c>
      <c r="F253" s="3" t="n">
        <v>0.604166666666667</v>
      </c>
      <c r="G253" s="0" t="s">
        <v>273</v>
      </c>
      <c r="H253" s="0" t="s">
        <v>71</v>
      </c>
      <c r="I253" s="0" t="s">
        <v>204</v>
      </c>
      <c r="J253" s="0" t="s">
        <v>18</v>
      </c>
    </row>
    <row r="254" customFormat="false" ht="12.8" hidden="false" customHeight="false" outlineLevel="0" collapsed="false">
      <c r="A254" s="2" t="n">
        <v>46081</v>
      </c>
      <c r="B254" s="0" t="s">
        <v>105</v>
      </c>
      <c r="C254" s="0" t="s">
        <v>102</v>
      </c>
      <c r="D254" s="0" t="s">
        <v>127</v>
      </c>
      <c r="E254" s="0" t="n">
        <v>4</v>
      </c>
      <c r="F254" s="3" t="n">
        <v>0.625</v>
      </c>
      <c r="G254" s="0" t="s">
        <v>277</v>
      </c>
      <c r="H254" s="0" t="s">
        <v>71</v>
      </c>
      <c r="I254" s="0" t="s">
        <v>204</v>
      </c>
      <c r="J254" s="0" t="s">
        <v>18</v>
      </c>
    </row>
    <row r="255" customFormat="false" ht="12.8" hidden="false" customHeight="false" outlineLevel="0" collapsed="false">
      <c r="A255" s="2" t="n">
        <v>46081</v>
      </c>
      <c r="B255" s="0" t="s">
        <v>276</v>
      </c>
      <c r="C255" s="0" t="s">
        <v>281</v>
      </c>
      <c r="D255" s="0" t="s">
        <v>127</v>
      </c>
      <c r="E255" s="0" t="n">
        <v>4</v>
      </c>
      <c r="F255" s="3" t="n">
        <v>0.65625</v>
      </c>
      <c r="G255" s="0" t="s">
        <v>285</v>
      </c>
      <c r="H255" s="0" t="s">
        <v>71</v>
      </c>
      <c r="I255" s="0" t="s">
        <v>204</v>
      </c>
      <c r="J255" s="0" t="s">
        <v>18</v>
      </c>
    </row>
    <row r="256" customFormat="false" ht="12.8" hidden="false" customHeight="false" outlineLevel="0" collapsed="false">
      <c r="A256" s="2" t="n">
        <v>46082</v>
      </c>
      <c r="B256" s="0" t="s">
        <v>280</v>
      </c>
      <c r="C256" s="0" t="s">
        <v>272</v>
      </c>
      <c r="D256" s="0" t="s">
        <v>127</v>
      </c>
      <c r="E256" s="0" t="n">
        <v>4</v>
      </c>
      <c r="F256" s="3" t="n">
        <v>0.604166666666667</v>
      </c>
      <c r="G256" s="0" t="s">
        <v>282</v>
      </c>
      <c r="H256" s="0" t="s">
        <v>71</v>
      </c>
      <c r="I256" s="0" t="s">
        <v>204</v>
      </c>
      <c r="J256" s="0" t="s">
        <v>18</v>
      </c>
    </row>
    <row r="257" customFormat="false" ht="12.8" hidden="false" customHeight="false" outlineLevel="0" collapsed="false">
      <c r="A257" s="2" t="n">
        <v>46088</v>
      </c>
      <c r="B257" s="0" t="s">
        <v>271</v>
      </c>
      <c r="C257" s="0" t="s">
        <v>274</v>
      </c>
      <c r="D257" s="0" t="s">
        <v>127</v>
      </c>
      <c r="E257" s="0" t="n">
        <v>5</v>
      </c>
      <c r="F257" s="3" t="n">
        <v>0.604166666666667</v>
      </c>
      <c r="G257" s="0" t="s">
        <v>273</v>
      </c>
      <c r="H257" s="0" t="s">
        <v>71</v>
      </c>
      <c r="I257" s="0" t="s">
        <v>204</v>
      </c>
      <c r="J257" s="0" t="s">
        <v>18</v>
      </c>
    </row>
    <row r="258" customFormat="false" ht="12.8" hidden="false" customHeight="false" outlineLevel="0" collapsed="false">
      <c r="A258" s="2" t="n">
        <v>46088</v>
      </c>
      <c r="B258" s="0" t="s">
        <v>278</v>
      </c>
      <c r="C258" s="0" t="s">
        <v>281</v>
      </c>
      <c r="D258" s="0" t="s">
        <v>127</v>
      </c>
      <c r="E258" s="0" t="n">
        <v>5</v>
      </c>
      <c r="F258" s="3" t="n">
        <v>0.604166666666667</v>
      </c>
      <c r="G258" s="0" t="s">
        <v>284</v>
      </c>
      <c r="H258" s="0" t="s">
        <v>71</v>
      </c>
      <c r="I258" s="0" t="s">
        <v>204</v>
      </c>
      <c r="J258" s="0" t="s">
        <v>18</v>
      </c>
    </row>
    <row r="259" customFormat="false" ht="12.8" hidden="false" customHeight="false" outlineLevel="0" collapsed="false">
      <c r="A259" s="2" t="n">
        <v>46088</v>
      </c>
      <c r="B259" s="0" t="s">
        <v>102</v>
      </c>
      <c r="C259" s="0" t="s">
        <v>276</v>
      </c>
      <c r="D259" s="0" t="s">
        <v>127</v>
      </c>
      <c r="E259" s="0" t="n">
        <v>5</v>
      </c>
      <c r="F259" s="3" t="n">
        <v>0.625</v>
      </c>
      <c r="G259" s="0" t="s">
        <v>279</v>
      </c>
      <c r="H259" s="0" t="s">
        <v>71</v>
      </c>
      <c r="I259" s="0" t="s">
        <v>204</v>
      </c>
      <c r="J259" s="0" t="s">
        <v>18</v>
      </c>
    </row>
    <row r="260" customFormat="false" ht="12.8" hidden="false" customHeight="false" outlineLevel="0" collapsed="false">
      <c r="A260" s="2" t="n">
        <v>46088</v>
      </c>
      <c r="B260" s="0" t="s">
        <v>272</v>
      </c>
      <c r="C260" s="0" t="s">
        <v>105</v>
      </c>
      <c r="D260" s="0" t="s">
        <v>127</v>
      </c>
      <c r="E260" s="0" t="n">
        <v>5</v>
      </c>
      <c r="F260" s="3" t="n">
        <v>0.645833333333333</v>
      </c>
      <c r="G260" s="0" t="s">
        <v>284</v>
      </c>
      <c r="H260" s="0" t="s">
        <v>71</v>
      </c>
      <c r="I260" s="0" t="s">
        <v>204</v>
      </c>
      <c r="J260" s="0" t="s">
        <v>18</v>
      </c>
    </row>
    <row r="261" customFormat="false" ht="12.8" hidden="false" customHeight="false" outlineLevel="0" collapsed="false">
      <c r="A261" s="2" t="n">
        <v>46089</v>
      </c>
      <c r="B261" s="0" t="s">
        <v>99</v>
      </c>
      <c r="C261" s="0" t="s">
        <v>280</v>
      </c>
      <c r="D261" s="0" t="s">
        <v>127</v>
      </c>
      <c r="E261" s="0" t="n">
        <v>5</v>
      </c>
      <c r="F261" s="3" t="n">
        <v>0.666666666666667</v>
      </c>
      <c r="G261" s="0" t="s">
        <v>279</v>
      </c>
      <c r="H261" s="0" t="s">
        <v>71</v>
      </c>
      <c r="I261" s="0" t="s">
        <v>204</v>
      </c>
      <c r="J261" s="0" t="s">
        <v>18</v>
      </c>
    </row>
    <row r="262" customFormat="false" ht="12.8" hidden="false" customHeight="false" outlineLevel="0" collapsed="false">
      <c r="A262" s="2" t="n">
        <v>46095</v>
      </c>
      <c r="B262" s="0" t="s">
        <v>281</v>
      </c>
      <c r="C262" s="0" t="s">
        <v>102</v>
      </c>
      <c r="D262" s="0" t="s">
        <v>127</v>
      </c>
      <c r="E262" s="0" t="n">
        <v>6</v>
      </c>
      <c r="F262" s="3" t="n">
        <v>0.583333333333333</v>
      </c>
      <c r="G262" s="0" t="s">
        <v>283</v>
      </c>
      <c r="H262" s="0" t="s">
        <v>71</v>
      </c>
      <c r="I262" s="0" t="s">
        <v>204</v>
      </c>
      <c r="J262" s="0" t="s">
        <v>18</v>
      </c>
    </row>
    <row r="263" customFormat="false" ht="12.8" hidden="false" customHeight="false" outlineLevel="0" collapsed="false">
      <c r="A263" s="2" t="n">
        <v>46095</v>
      </c>
      <c r="B263" s="0" t="s">
        <v>274</v>
      </c>
      <c r="C263" s="0" t="s">
        <v>278</v>
      </c>
      <c r="D263" s="0" t="s">
        <v>127</v>
      </c>
      <c r="E263" s="0" t="n">
        <v>6</v>
      </c>
      <c r="F263" s="3" t="n">
        <v>0.604166666666667</v>
      </c>
      <c r="G263" s="0" t="s">
        <v>275</v>
      </c>
      <c r="H263" s="0" t="s">
        <v>71</v>
      </c>
      <c r="I263" s="0" t="s">
        <v>204</v>
      </c>
      <c r="J263" s="0" t="s">
        <v>18</v>
      </c>
    </row>
    <row r="264" customFormat="false" ht="12.8" hidden="false" customHeight="false" outlineLevel="0" collapsed="false">
      <c r="A264" s="2" t="n">
        <v>46095</v>
      </c>
      <c r="B264" s="0" t="s">
        <v>105</v>
      </c>
      <c r="C264" s="0" t="s">
        <v>99</v>
      </c>
      <c r="D264" s="0" t="s">
        <v>127</v>
      </c>
      <c r="E264" s="0" t="n">
        <v>6</v>
      </c>
      <c r="F264" s="3" t="n">
        <v>0.625</v>
      </c>
      <c r="G264" s="0" t="s">
        <v>277</v>
      </c>
      <c r="H264" s="0" t="s">
        <v>71</v>
      </c>
      <c r="I264" s="0" t="s">
        <v>204</v>
      </c>
      <c r="J264" s="0" t="s">
        <v>18</v>
      </c>
    </row>
    <row r="265" customFormat="false" ht="12.8" hidden="false" customHeight="false" outlineLevel="0" collapsed="false">
      <c r="A265" s="2" t="n">
        <v>46095</v>
      </c>
      <c r="B265" s="0" t="s">
        <v>276</v>
      </c>
      <c r="C265" s="0" t="s">
        <v>272</v>
      </c>
      <c r="D265" s="0" t="s">
        <v>127</v>
      </c>
      <c r="E265" s="0" t="n">
        <v>6</v>
      </c>
      <c r="F265" s="3" t="n">
        <v>0.65625</v>
      </c>
      <c r="G265" s="0" t="s">
        <v>285</v>
      </c>
      <c r="H265" s="0" t="s">
        <v>71</v>
      </c>
      <c r="I265" s="0" t="s">
        <v>204</v>
      </c>
      <c r="J265" s="0" t="s">
        <v>18</v>
      </c>
    </row>
    <row r="266" customFormat="false" ht="12.8" hidden="false" customHeight="false" outlineLevel="0" collapsed="false">
      <c r="A266" s="2" t="n">
        <v>46096</v>
      </c>
      <c r="B266" s="0" t="s">
        <v>280</v>
      </c>
      <c r="C266" s="0" t="s">
        <v>271</v>
      </c>
      <c r="D266" s="0" t="s">
        <v>127</v>
      </c>
      <c r="E266" s="0" t="n">
        <v>6</v>
      </c>
      <c r="F266" s="3" t="n">
        <v>0.604166666666667</v>
      </c>
      <c r="G266" s="0" t="s">
        <v>282</v>
      </c>
      <c r="H266" s="0" t="s">
        <v>71</v>
      </c>
      <c r="I266" s="0" t="s">
        <v>204</v>
      </c>
      <c r="J266" s="0" t="s">
        <v>18</v>
      </c>
    </row>
    <row r="267" customFormat="false" ht="12.8" hidden="false" customHeight="false" outlineLevel="0" collapsed="false">
      <c r="A267" s="2" t="n">
        <v>46102</v>
      </c>
      <c r="B267" s="0" t="s">
        <v>274</v>
      </c>
      <c r="C267" s="0" t="s">
        <v>280</v>
      </c>
      <c r="D267" s="0" t="s">
        <v>127</v>
      </c>
      <c r="E267" s="0" t="n">
        <v>7</v>
      </c>
      <c r="F267" s="3" t="n">
        <v>0.604166666666667</v>
      </c>
      <c r="G267" s="0" t="s">
        <v>275</v>
      </c>
      <c r="H267" s="0" t="s">
        <v>71</v>
      </c>
      <c r="I267" s="0" t="s">
        <v>204</v>
      </c>
      <c r="J267" s="0" t="s">
        <v>18</v>
      </c>
    </row>
    <row r="268" customFormat="false" ht="12.8" hidden="false" customHeight="false" outlineLevel="0" collapsed="false">
      <c r="A268" s="2" t="n">
        <v>46102</v>
      </c>
      <c r="B268" s="0" t="s">
        <v>271</v>
      </c>
      <c r="C268" s="0" t="s">
        <v>105</v>
      </c>
      <c r="D268" s="0" t="s">
        <v>127</v>
      </c>
      <c r="E268" s="0" t="n">
        <v>7</v>
      </c>
      <c r="F268" s="3" t="n">
        <v>0.604166666666667</v>
      </c>
      <c r="G268" s="0" t="s">
        <v>273</v>
      </c>
      <c r="H268" s="0" t="s">
        <v>71</v>
      </c>
      <c r="I268" s="0" t="s">
        <v>204</v>
      </c>
      <c r="J268" s="0" t="s">
        <v>18</v>
      </c>
    </row>
    <row r="269" customFormat="false" ht="12.8" hidden="false" customHeight="false" outlineLevel="0" collapsed="false">
      <c r="A269" s="2" t="n">
        <v>46102</v>
      </c>
      <c r="B269" s="0" t="s">
        <v>278</v>
      </c>
      <c r="C269" s="0" t="s">
        <v>102</v>
      </c>
      <c r="D269" s="0" t="s">
        <v>127</v>
      </c>
      <c r="E269" s="0" t="n">
        <v>7</v>
      </c>
      <c r="F269" s="3" t="n">
        <v>0.604166666666667</v>
      </c>
      <c r="G269" s="0" t="s">
        <v>284</v>
      </c>
      <c r="H269" s="0" t="s">
        <v>71</v>
      </c>
      <c r="I269" s="0" t="s">
        <v>204</v>
      </c>
      <c r="J269" s="0" t="s">
        <v>18</v>
      </c>
    </row>
    <row r="270" customFormat="false" ht="12.8" hidden="false" customHeight="false" outlineLevel="0" collapsed="false">
      <c r="A270" s="2" t="n">
        <v>46102</v>
      </c>
      <c r="B270" s="0" t="s">
        <v>272</v>
      </c>
      <c r="C270" s="0" t="s">
        <v>281</v>
      </c>
      <c r="D270" s="0" t="s">
        <v>127</v>
      </c>
      <c r="E270" s="0" t="n">
        <v>7</v>
      </c>
      <c r="F270" s="3" t="n">
        <v>0.645833333333333</v>
      </c>
      <c r="G270" s="0" t="s">
        <v>284</v>
      </c>
      <c r="H270" s="0" t="s">
        <v>71</v>
      </c>
      <c r="I270" s="0" t="s">
        <v>204</v>
      </c>
      <c r="J270" s="0" t="s">
        <v>18</v>
      </c>
    </row>
    <row r="271" customFormat="false" ht="12.8" hidden="false" customHeight="false" outlineLevel="0" collapsed="false">
      <c r="A271" s="2" t="n">
        <v>46103</v>
      </c>
      <c r="B271" s="0" t="s">
        <v>99</v>
      </c>
      <c r="C271" s="0" t="s">
        <v>276</v>
      </c>
      <c r="D271" s="0" t="s">
        <v>127</v>
      </c>
      <c r="E271" s="0" t="n">
        <v>7</v>
      </c>
      <c r="F271" s="3" t="n">
        <v>0.666666666666667</v>
      </c>
      <c r="G271" s="0" t="s">
        <v>279</v>
      </c>
      <c r="H271" s="0" t="s">
        <v>71</v>
      </c>
      <c r="I271" s="0" t="s">
        <v>204</v>
      </c>
      <c r="J271" s="0" t="s">
        <v>18</v>
      </c>
    </row>
    <row r="272" customFormat="false" ht="12.8" hidden="false" customHeight="false" outlineLevel="0" collapsed="false">
      <c r="A272" s="2" t="n">
        <v>46109</v>
      </c>
      <c r="B272" s="0" t="s">
        <v>281</v>
      </c>
      <c r="C272" s="0" t="s">
        <v>99</v>
      </c>
      <c r="D272" s="0" t="s">
        <v>127</v>
      </c>
      <c r="E272" s="0" t="n">
        <v>8</v>
      </c>
      <c r="F272" s="3" t="n">
        <v>0.583333333333333</v>
      </c>
      <c r="G272" s="0" t="s">
        <v>283</v>
      </c>
      <c r="H272" s="0" t="s">
        <v>71</v>
      </c>
      <c r="I272" s="0" t="s">
        <v>204</v>
      </c>
      <c r="J272" s="0" t="s">
        <v>18</v>
      </c>
    </row>
    <row r="273" customFormat="false" ht="12.8" hidden="false" customHeight="false" outlineLevel="0" collapsed="false">
      <c r="A273" s="2" t="n">
        <v>46109</v>
      </c>
      <c r="B273" s="0" t="s">
        <v>278</v>
      </c>
      <c r="C273" s="0" t="s">
        <v>280</v>
      </c>
      <c r="D273" s="0" t="s">
        <v>127</v>
      </c>
      <c r="E273" s="0" t="n">
        <v>8</v>
      </c>
      <c r="F273" s="3" t="n">
        <v>0.604166666666667</v>
      </c>
      <c r="G273" s="0" t="s">
        <v>284</v>
      </c>
      <c r="H273" s="0" t="s">
        <v>71</v>
      </c>
      <c r="I273" s="0" t="s">
        <v>204</v>
      </c>
      <c r="J273" s="0" t="s">
        <v>18</v>
      </c>
    </row>
    <row r="274" customFormat="false" ht="12.8" hidden="false" customHeight="false" outlineLevel="0" collapsed="false">
      <c r="A274" s="2" t="n">
        <v>46109</v>
      </c>
      <c r="B274" s="0" t="s">
        <v>105</v>
      </c>
      <c r="C274" s="0" t="s">
        <v>274</v>
      </c>
      <c r="D274" s="0" t="s">
        <v>127</v>
      </c>
      <c r="E274" s="0" t="n">
        <v>8</v>
      </c>
      <c r="F274" s="3" t="n">
        <v>0.625</v>
      </c>
      <c r="G274" s="0" t="s">
        <v>277</v>
      </c>
      <c r="H274" s="0" t="s">
        <v>71</v>
      </c>
      <c r="I274" s="0" t="s">
        <v>204</v>
      </c>
      <c r="J274" s="0" t="s">
        <v>18</v>
      </c>
    </row>
    <row r="275" customFormat="false" ht="12.8" hidden="false" customHeight="false" outlineLevel="0" collapsed="false">
      <c r="A275" s="2" t="n">
        <v>46109</v>
      </c>
      <c r="B275" s="0" t="s">
        <v>102</v>
      </c>
      <c r="C275" s="0" t="s">
        <v>272</v>
      </c>
      <c r="D275" s="0" t="s">
        <v>127</v>
      </c>
      <c r="E275" s="0" t="n">
        <v>8</v>
      </c>
      <c r="F275" s="3" t="n">
        <v>0.625</v>
      </c>
      <c r="G275" s="0" t="s">
        <v>279</v>
      </c>
      <c r="H275" s="0" t="s">
        <v>71</v>
      </c>
      <c r="I275" s="0" t="s">
        <v>204</v>
      </c>
      <c r="J275" s="0" t="s">
        <v>18</v>
      </c>
    </row>
    <row r="276" customFormat="false" ht="12.8" hidden="false" customHeight="false" outlineLevel="0" collapsed="false">
      <c r="A276" s="2" t="n">
        <v>46109</v>
      </c>
      <c r="B276" s="0" t="s">
        <v>276</v>
      </c>
      <c r="C276" s="0" t="s">
        <v>271</v>
      </c>
      <c r="D276" s="0" t="s">
        <v>127</v>
      </c>
      <c r="E276" s="0" t="n">
        <v>8</v>
      </c>
      <c r="F276" s="3" t="n">
        <v>0.65625</v>
      </c>
      <c r="G276" s="0" t="s">
        <v>285</v>
      </c>
      <c r="H276" s="0" t="s">
        <v>71</v>
      </c>
      <c r="I276" s="0" t="s">
        <v>204</v>
      </c>
      <c r="J276" s="0" t="s">
        <v>18</v>
      </c>
    </row>
    <row r="277" customFormat="false" ht="12.8" hidden="false" customHeight="false" outlineLevel="0" collapsed="false">
      <c r="A277" s="2" t="n">
        <v>46123</v>
      </c>
      <c r="B277" s="0" t="s">
        <v>271</v>
      </c>
      <c r="C277" s="0" t="s">
        <v>281</v>
      </c>
      <c r="D277" s="0" t="s">
        <v>127</v>
      </c>
      <c r="E277" s="0" t="n">
        <v>9</v>
      </c>
      <c r="F277" s="3" t="n">
        <v>0.604166666666667</v>
      </c>
      <c r="G277" s="0" t="s">
        <v>273</v>
      </c>
      <c r="H277" s="0" t="s">
        <v>71</v>
      </c>
      <c r="I277" s="0" t="s">
        <v>204</v>
      </c>
      <c r="J277" s="0" t="s">
        <v>18</v>
      </c>
    </row>
    <row r="278" customFormat="false" ht="12.8" hidden="false" customHeight="false" outlineLevel="0" collapsed="false">
      <c r="A278" s="2" t="n">
        <v>46123</v>
      </c>
      <c r="B278" s="0" t="s">
        <v>274</v>
      </c>
      <c r="C278" s="0" t="s">
        <v>276</v>
      </c>
      <c r="D278" s="0" t="s">
        <v>127</v>
      </c>
      <c r="E278" s="0" t="n">
        <v>9</v>
      </c>
      <c r="F278" s="3" t="n">
        <v>0.604166666666667</v>
      </c>
      <c r="G278" s="0" t="s">
        <v>275</v>
      </c>
      <c r="H278" s="0" t="s">
        <v>71</v>
      </c>
      <c r="I278" s="0" t="s">
        <v>204</v>
      </c>
      <c r="J278" s="0" t="s">
        <v>18</v>
      </c>
    </row>
    <row r="279" customFormat="false" ht="12.8" hidden="false" customHeight="false" outlineLevel="0" collapsed="false">
      <c r="A279" s="2" t="n">
        <v>46123</v>
      </c>
      <c r="B279" s="0" t="s">
        <v>272</v>
      </c>
      <c r="C279" s="0" t="s">
        <v>278</v>
      </c>
      <c r="D279" s="0" t="s">
        <v>127</v>
      </c>
      <c r="E279" s="0" t="n">
        <v>9</v>
      </c>
      <c r="F279" s="3" t="n">
        <v>0.645833333333333</v>
      </c>
      <c r="G279" s="0" t="s">
        <v>284</v>
      </c>
      <c r="H279" s="0" t="s">
        <v>71</v>
      </c>
      <c r="I279" s="0" t="s">
        <v>204</v>
      </c>
      <c r="J279" s="0" t="s">
        <v>18</v>
      </c>
    </row>
    <row r="280" customFormat="false" ht="12.8" hidden="false" customHeight="false" outlineLevel="0" collapsed="false">
      <c r="A280" s="2" t="n">
        <v>46124</v>
      </c>
      <c r="B280" s="0" t="s">
        <v>280</v>
      </c>
      <c r="C280" s="0" t="s">
        <v>105</v>
      </c>
      <c r="D280" s="0" t="s">
        <v>127</v>
      </c>
      <c r="E280" s="0" t="n">
        <v>9</v>
      </c>
      <c r="F280" s="3" t="n">
        <v>0.604166666666667</v>
      </c>
      <c r="G280" s="0" t="s">
        <v>282</v>
      </c>
      <c r="H280" s="0" t="s">
        <v>71</v>
      </c>
      <c r="I280" s="0" t="s">
        <v>204</v>
      </c>
      <c r="J280" s="0" t="s">
        <v>18</v>
      </c>
    </row>
    <row r="281" customFormat="false" ht="12.8" hidden="false" customHeight="false" outlineLevel="0" collapsed="false">
      <c r="A281" s="2" t="n">
        <v>46124</v>
      </c>
      <c r="B281" s="0" t="s">
        <v>99</v>
      </c>
      <c r="C281" s="0" t="s">
        <v>102</v>
      </c>
      <c r="D281" s="0" t="s">
        <v>127</v>
      </c>
      <c r="E281" s="0" t="n">
        <v>9</v>
      </c>
      <c r="F281" s="3" t="n">
        <v>0.666666666666667</v>
      </c>
      <c r="G281" s="0" t="s">
        <v>279</v>
      </c>
      <c r="H281" s="0" t="s">
        <v>71</v>
      </c>
      <c r="I281" s="0" t="s">
        <v>204</v>
      </c>
      <c r="J28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12" activeCellId="0" sqref="B12"/>
    </sheetView>
  </sheetViews>
  <sheetFormatPr defaultColWidth="11.9921875" defaultRowHeight="12.5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</cols>
  <sheetData>
    <row r="1" customFormat="false" ht="12.5" hidden="false" customHeight="false" outlineLevel="0" collapsed="false">
      <c r="A1" s="0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10</v>
      </c>
      <c r="B2" s="0" t="s">
        <v>286</v>
      </c>
      <c r="C2" s="0" t="s">
        <v>287</v>
      </c>
      <c r="D2" s="0" t="s">
        <v>288</v>
      </c>
      <c r="E2" s="0" t="s">
        <v>47</v>
      </c>
      <c r="F2" s="1" t="s">
        <v>25</v>
      </c>
      <c r="G2" s="0" t="s">
        <v>289</v>
      </c>
      <c r="H2" s="0" t="n">
        <v>2</v>
      </c>
      <c r="I2" s="0" t="s">
        <v>204</v>
      </c>
      <c r="J2" s="0" t="s">
        <v>290</v>
      </c>
    </row>
    <row r="3" customFormat="false" ht="12.8" hidden="false" customHeight="false" outlineLevel="0" collapsed="false">
      <c r="A3" s="1" t="s">
        <v>10</v>
      </c>
      <c r="B3" s="0" t="s">
        <v>291</v>
      </c>
      <c r="C3" s="0" t="s">
        <v>292</v>
      </c>
      <c r="D3" s="0" t="s">
        <v>288</v>
      </c>
      <c r="E3" s="0" t="s">
        <v>47</v>
      </c>
      <c r="F3" s="1" t="s">
        <v>31</v>
      </c>
      <c r="G3" s="0" t="s">
        <v>293</v>
      </c>
      <c r="H3" s="0" t="n">
        <v>2</v>
      </c>
      <c r="I3" s="0" t="s">
        <v>204</v>
      </c>
      <c r="J3" s="0" t="s">
        <v>290</v>
      </c>
    </row>
    <row r="4" customFormat="false" ht="12.8" hidden="false" customHeight="false" outlineLevel="0" collapsed="false">
      <c r="A4" s="1" t="s">
        <v>10</v>
      </c>
      <c r="B4" s="0" t="s">
        <v>294</v>
      </c>
      <c r="C4" s="0" t="s">
        <v>295</v>
      </c>
      <c r="D4" s="0" t="s">
        <v>288</v>
      </c>
      <c r="E4" s="0" t="s">
        <v>47</v>
      </c>
      <c r="F4" s="1" t="s">
        <v>31</v>
      </c>
      <c r="G4" s="0" t="s">
        <v>296</v>
      </c>
      <c r="H4" s="0" t="n">
        <v>2</v>
      </c>
      <c r="I4" s="0" t="s">
        <v>204</v>
      </c>
      <c r="J4" s="0" t="s">
        <v>290</v>
      </c>
    </row>
    <row r="5" customFormat="false" ht="12.8" hidden="false" customHeight="false" outlineLevel="0" collapsed="false">
      <c r="A5" s="1" t="s">
        <v>10</v>
      </c>
      <c r="B5" s="0" t="s">
        <v>297</v>
      </c>
      <c r="C5" s="0" t="s">
        <v>298</v>
      </c>
      <c r="D5" s="0" t="s">
        <v>288</v>
      </c>
      <c r="E5" s="0" t="s">
        <v>47</v>
      </c>
      <c r="F5" s="1" t="s">
        <v>15</v>
      </c>
      <c r="G5" s="0" t="s">
        <v>299</v>
      </c>
      <c r="H5" s="0" t="n">
        <v>2</v>
      </c>
      <c r="I5" s="0" t="s">
        <v>204</v>
      </c>
      <c r="J5" s="0" t="s">
        <v>290</v>
      </c>
    </row>
    <row r="6" customFormat="false" ht="12.8" hidden="false" customHeight="false" outlineLevel="0" collapsed="false">
      <c r="A6" s="1" t="s">
        <v>10</v>
      </c>
      <c r="B6" s="0" t="s">
        <v>300</v>
      </c>
      <c r="C6" s="0" t="s">
        <v>301</v>
      </c>
      <c r="D6" s="0" t="s">
        <v>288</v>
      </c>
      <c r="E6" s="0" t="s">
        <v>47</v>
      </c>
      <c r="F6" s="1" t="s">
        <v>21</v>
      </c>
      <c r="G6" s="0" t="s">
        <v>302</v>
      </c>
      <c r="H6" s="0" t="n">
        <v>2</v>
      </c>
      <c r="I6" s="0" t="s">
        <v>204</v>
      </c>
      <c r="J6" s="0" t="s">
        <v>290</v>
      </c>
    </row>
    <row r="7" customFormat="false" ht="12.8" hidden="false" customHeight="false" outlineLevel="0" collapsed="false">
      <c r="A7" s="1" t="s">
        <v>32</v>
      </c>
      <c r="B7" s="0" t="s">
        <v>292</v>
      </c>
      <c r="C7" s="0" t="s">
        <v>287</v>
      </c>
      <c r="D7" s="0" t="s">
        <v>288</v>
      </c>
      <c r="E7" s="0" t="s">
        <v>47</v>
      </c>
      <c r="F7" s="1" t="s">
        <v>15</v>
      </c>
      <c r="G7" s="0" t="s">
        <v>303</v>
      </c>
      <c r="H7" s="0" t="n">
        <v>3</v>
      </c>
      <c r="I7" s="0" t="s">
        <v>204</v>
      </c>
      <c r="J7" s="0" t="s">
        <v>290</v>
      </c>
    </row>
    <row r="8" customFormat="false" ht="12.8" hidden="false" customHeight="false" outlineLevel="0" collapsed="false">
      <c r="A8" s="1" t="s">
        <v>32</v>
      </c>
      <c r="B8" s="0" t="s">
        <v>286</v>
      </c>
      <c r="C8" s="0" t="s">
        <v>297</v>
      </c>
      <c r="D8" s="0" t="s">
        <v>288</v>
      </c>
      <c r="E8" s="0" t="s">
        <v>47</v>
      </c>
      <c r="F8" s="1" t="s">
        <v>25</v>
      </c>
      <c r="G8" s="0" t="s">
        <v>289</v>
      </c>
      <c r="H8" s="0" t="n">
        <v>3</v>
      </c>
      <c r="I8" s="0" t="s">
        <v>204</v>
      </c>
      <c r="J8" s="0" t="s">
        <v>290</v>
      </c>
    </row>
    <row r="9" customFormat="false" ht="12.8" hidden="false" customHeight="false" outlineLevel="0" collapsed="false">
      <c r="A9" s="1" t="s">
        <v>32</v>
      </c>
      <c r="B9" s="0" t="s">
        <v>298</v>
      </c>
      <c r="C9" s="0" t="s">
        <v>294</v>
      </c>
      <c r="D9" s="0" t="s">
        <v>288</v>
      </c>
      <c r="E9" s="0" t="s">
        <v>47</v>
      </c>
      <c r="F9" s="1" t="s">
        <v>31</v>
      </c>
      <c r="G9" s="0" t="s">
        <v>304</v>
      </c>
      <c r="H9" s="0" t="n">
        <v>3</v>
      </c>
      <c r="I9" s="0" t="s">
        <v>204</v>
      </c>
      <c r="J9" s="0" t="s">
        <v>290</v>
      </c>
    </row>
    <row r="10" customFormat="false" ht="12.8" hidden="false" customHeight="false" outlineLevel="0" collapsed="false">
      <c r="A10" s="1" t="s">
        <v>32</v>
      </c>
      <c r="B10" s="0" t="s">
        <v>295</v>
      </c>
      <c r="C10" s="0" t="s">
        <v>300</v>
      </c>
      <c r="D10" s="0" t="s">
        <v>288</v>
      </c>
      <c r="E10" s="0" t="s">
        <v>47</v>
      </c>
      <c r="F10" s="1" t="s">
        <v>25</v>
      </c>
      <c r="G10" s="0" t="s">
        <v>305</v>
      </c>
      <c r="H10" s="0" t="n">
        <v>3</v>
      </c>
      <c r="I10" s="0" t="s">
        <v>204</v>
      </c>
      <c r="J10" s="0" t="s">
        <v>290</v>
      </c>
    </row>
    <row r="11" customFormat="false" ht="12.8" hidden="false" customHeight="false" outlineLevel="0" collapsed="false">
      <c r="A11" s="1" t="s">
        <v>32</v>
      </c>
      <c r="B11" s="0" t="s">
        <v>301</v>
      </c>
      <c r="C11" s="0" t="s">
        <v>291</v>
      </c>
      <c r="D11" s="0" t="s">
        <v>288</v>
      </c>
      <c r="E11" s="0" t="s">
        <v>47</v>
      </c>
      <c r="F11" s="1" t="s">
        <v>31</v>
      </c>
      <c r="G11" s="0" t="s">
        <v>306</v>
      </c>
      <c r="H11" s="0" t="n">
        <v>3</v>
      </c>
      <c r="I11" s="0" t="s">
        <v>204</v>
      </c>
      <c r="J11" s="0" t="s">
        <v>290</v>
      </c>
    </row>
    <row r="12" customFormat="false" ht="12.8" hidden="false" customHeight="false" outlineLevel="0" collapsed="false">
      <c r="A12" s="1" t="s">
        <v>38</v>
      </c>
      <c r="B12" s="0" t="s">
        <v>291</v>
      </c>
      <c r="C12" s="0" t="s">
        <v>295</v>
      </c>
      <c r="D12" s="0" t="s">
        <v>288</v>
      </c>
      <c r="E12" s="0" t="s">
        <v>47</v>
      </c>
      <c r="F12" s="1" t="s">
        <v>31</v>
      </c>
      <c r="G12" s="0" t="s">
        <v>293</v>
      </c>
      <c r="H12" s="0" t="n">
        <v>4</v>
      </c>
      <c r="I12" s="0" t="s">
        <v>204</v>
      </c>
      <c r="J12" s="0" t="s">
        <v>290</v>
      </c>
    </row>
    <row r="13" customFormat="false" ht="12.8" hidden="false" customHeight="false" outlineLevel="0" collapsed="false">
      <c r="A13" s="1" t="s">
        <v>38</v>
      </c>
      <c r="B13" s="0" t="s">
        <v>287</v>
      </c>
      <c r="C13" s="0" t="s">
        <v>297</v>
      </c>
      <c r="D13" s="0" t="s">
        <v>288</v>
      </c>
      <c r="E13" s="0" t="s">
        <v>47</v>
      </c>
      <c r="F13" s="1" t="s">
        <v>15</v>
      </c>
      <c r="G13" s="0" t="s">
        <v>307</v>
      </c>
      <c r="H13" s="0" t="n">
        <v>4</v>
      </c>
      <c r="I13" s="0" t="s">
        <v>204</v>
      </c>
      <c r="J13" s="0" t="s">
        <v>290</v>
      </c>
    </row>
    <row r="14" customFormat="false" ht="12.8" hidden="false" customHeight="false" outlineLevel="0" collapsed="false">
      <c r="A14" s="1" t="s">
        <v>38</v>
      </c>
      <c r="B14" s="0" t="s">
        <v>300</v>
      </c>
      <c r="C14" s="0" t="s">
        <v>298</v>
      </c>
      <c r="D14" s="0" t="s">
        <v>288</v>
      </c>
      <c r="E14" s="0" t="s">
        <v>47</v>
      </c>
      <c r="F14" s="1" t="s">
        <v>21</v>
      </c>
      <c r="G14" s="0" t="s">
        <v>302</v>
      </c>
      <c r="H14" s="0" t="n">
        <v>4</v>
      </c>
      <c r="I14" s="0" t="s">
        <v>204</v>
      </c>
      <c r="J14" s="0" t="s">
        <v>290</v>
      </c>
    </row>
    <row r="15" customFormat="false" ht="12.8" hidden="false" customHeight="false" outlineLevel="0" collapsed="false">
      <c r="A15" s="1" t="s">
        <v>38</v>
      </c>
      <c r="B15" s="0" t="s">
        <v>292</v>
      </c>
      <c r="C15" s="0" t="s">
        <v>301</v>
      </c>
      <c r="D15" s="0" t="s">
        <v>288</v>
      </c>
      <c r="E15" s="0" t="s">
        <v>47</v>
      </c>
      <c r="F15" s="1" t="s">
        <v>15</v>
      </c>
      <c r="G15" s="0" t="s">
        <v>303</v>
      </c>
      <c r="H15" s="0" t="n">
        <v>4</v>
      </c>
      <c r="I15" s="0" t="s">
        <v>204</v>
      </c>
      <c r="J15" s="0" t="s">
        <v>290</v>
      </c>
    </row>
    <row r="16" customFormat="false" ht="12.8" hidden="false" customHeight="false" outlineLevel="0" collapsed="false">
      <c r="A16" s="1" t="s">
        <v>38</v>
      </c>
      <c r="B16" s="0" t="s">
        <v>294</v>
      </c>
      <c r="C16" s="0" t="s">
        <v>286</v>
      </c>
      <c r="D16" s="0" t="s">
        <v>288</v>
      </c>
      <c r="E16" s="0" t="s">
        <v>47</v>
      </c>
      <c r="F16" s="1" t="s">
        <v>31</v>
      </c>
      <c r="G16" s="0" t="s">
        <v>296</v>
      </c>
      <c r="H16" s="0" t="n">
        <v>4</v>
      </c>
      <c r="I16" s="0" t="s">
        <v>204</v>
      </c>
      <c r="J16" s="0" t="s">
        <v>290</v>
      </c>
    </row>
    <row r="17" customFormat="false" ht="12.8" hidden="false" customHeight="false" outlineLevel="0" collapsed="false">
      <c r="A17" s="1" t="s">
        <v>39</v>
      </c>
      <c r="B17" s="0" t="s">
        <v>301</v>
      </c>
      <c r="C17" s="0" t="s">
        <v>287</v>
      </c>
      <c r="D17" s="0" t="s">
        <v>288</v>
      </c>
      <c r="E17" s="0" t="s">
        <v>47</v>
      </c>
      <c r="F17" s="1" t="s">
        <v>31</v>
      </c>
      <c r="G17" s="0" t="s">
        <v>306</v>
      </c>
      <c r="H17" s="0" t="n">
        <v>5</v>
      </c>
      <c r="I17" s="0" t="s">
        <v>204</v>
      </c>
      <c r="J17" s="0" t="s">
        <v>290</v>
      </c>
    </row>
    <row r="18" customFormat="false" ht="12.8" hidden="false" customHeight="false" outlineLevel="0" collapsed="false">
      <c r="A18" s="1" t="s">
        <v>39</v>
      </c>
      <c r="B18" s="0" t="s">
        <v>295</v>
      </c>
      <c r="C18" s="0" t="s">
        <v>292</v>
      </c>
      <c r="D18" s="0" t="s">
        <v>288</v>
      </c>
      <c r="E18" s="0" t="s">
        <v>47</v>
      </c>
      <c r="F18" s="1" t="s">
        <v>25</v>
      </c>
      <c r="G18" s="0" t="s">
        <v>305</v>
      </c>
      <c r="H18" s="0" t="n">
        <v>5</v>
      </c>
      <c r="I18" s="0" t="s">
        <v>204</v>
      </c>
      <c r="J18" s="0" t="s">
        <v>290</v>
      </c>
    </row>
    <row r="19" customFormat="false" ht="12.8" hidden="false" customHeight="false" outlineLevel="0" collapsed="false">
      <c r="A19" s="1" t="s">
        <v>39</v>
      </c>
      <c r="B19" s="0" t="s">
        <v>297</v>
      </c>
      <c r="C19" s="0" t="s">
        <v>294</v>
      </c>
      <c r="D19" s="0" t="s">
        <v>288</v>
      </c>
      <c r="E19" s="0" t="s">
        <v>47</v>
      </c>
      <c r="F19" s="1" t="s">
        <v>15</v>
      </c>
      <c r="G19" s="0" t="s">
        <v>299</v>
      </c>
      <c r="H19" s="0" t="n">
        <v>5</v>
      </c>
      <c r="I19" s="0" t="s">
        <v>204</v>
      </c>
      <c r="J19" s="0" t="s">
        <v>290</v>
      </c>
    </row>
    <row r="20" customFormat="false" ht="12.8" hidden="false" customHeight="false" outlineLevel="0" collapsed="false">
      <c r="A20" s="1" t="s">
        <v>39</v>
      </c>
      <c r="B20" s="0" t="s">
        <v>286</v>
      </c>
      <c r="C20" s="0" t="s">
        <v>300</v>
      </c>
      <c r="D20" s="0" t="s">
        <v>288</v>
      </c>
      <c r="E20" s="0" t="s">
        <v>47</v>
      </c>
      <c r="F20" s="1" t="s">
        <v>25</v>
      </c>
      <c r="G20" s="0" t="s">
        <v>289</v>
      </c>
      <c r="H20" s="0" t="n">
        <v>5</v>
      </c>
      <c r="I20" s="0" t="s">
        <v>204</v>
      </c>
      <c r="J20" s="0" t="s">
        <v>290</v>
      </c>
    </row>
    <row r="21" customFormat="false" ht="12.8" hidden="false" customHeight="false" outlineLevel="0" collapsed="false">
      <c r="A21" s="1" t="s">
        <v>39</v>
      </c>
      <c r="B21" s="0" t="s">
        <v>298</v>
      </c>
      <c r="C21" s="0" t="s">
        <v>291</v>
      </c>
      <c r="D21" s="0" t="s">
        <v>288</v>
      </c>
      <c r="E21" s="0" t="s">
        <v>47</v>
      </c>
      <c r="F21" s="1" t="s">
        <v>31</v>
      </c>
      <c r="G21" s="0" t="s">
        <v>304</v>
      </c>
      <c r="H21" s="0" t="n">
        <v>5</v>
      </c>
      <c r="I21" s="0" t="s">
        <v>204</v>
      </c>
      <c r="J21" s="0" t="s">
        <v>290</v>
      </c>
    </row>
    <row r="22" customFormat="false" ht="12.8" hidden="false" customHeight="false" outlineLevel="0" collapsed="false">
      <c r="A22" s="1" t="s">
        <v>40</v>
      </c>
      <c r="B22" s="0" t="s">
        <v>301</v>
      </c>
      <c r="C22" s="0" t="s">
        <v>295</v>
      </c>
      <c r="D22" s="0" t="s">
        <v>288</v>
      </c>
      <c r="E22" s="0" t="s">
        <v>47</v>
      </c>
      <c r="F22" s="1" t="s">
        <v>31</v>
      </c>
      <c r="G22" s="0" t="s">
        <v>306</v>
      </c>
      <c r="H22" s="0" t="n">
        <v>6</v>
      </c>
      <c r="I22" s="0" t="s">
        <v>204</v>
      </c>
      <c r="J22" s="0" t="s">
        <v>290</v>
      </c>
    </row>
    <row r="23" customFormat="false" ht="12.8" hidden="false" customHeight="false" outlineLevel="0" collapsed="false">
      <c r="A23" s="1" t="s">
        <v>40</v>
      </c>
      <c r="B23" s="0" t="s">
        <v>300</v>
      </c>
      <c r="C23" s="0" t="s">
        <v>297</v>
      </c>
      <c r="D23" s="0" t="s">
        <v>288</v>
      </c>
      <c r="E23" s="0" t="s">
        <v>47</v>
      </c>
      <c r="F23" s="1" t="s">
        <v>21</v>
      </c>
      <c r="G23" s="0" t="s">
        <v>302</v>
      </c>
      <c r="H23" s="0" t="n">
        <v>6</v>
      </c>
      <c r="I23" s="0" t="s">
        <v>204</v>
      </c>
      <c r="J23" s="0" t="s">
        <v>290</v>
      </c>
    </row>
    <row r="24" customFormat="false" ht="12.8" hidden="false" customHeight="false" outlineLevel="0" collapsed="false">
      <c r="A24" s="1" t="s">
        <v>40</v>
      </c>
      <c r="B24" s="0" t="s">
        <v>287</v>
      </c>
      <c r="C24" s="0" t="s">
        <v>294</v>
      </c>
      <c r="D24" s="0" t="s">
        <v>288</v>
      </c>
      <c r="E24" s="0" t="s">
        <v>47</v>
      </c>
      <c r="F24" s="1" t="s">
        <v>15</v>
      </c>
      <c r="G24" s="0" t="s">
        <v>307</v>
      </c>
      <c r="H24" s="0" t="n">
        <v>6</v>
      </c>
      <c r="I24" s="0" t="s">
        <v>204</v>
      </c>
      <c r="J24" s="0" t="s">
        <v>290</v>
      </c>
    </row>
    <row r="25" customFormat="false" ht="12.8" hidden="false" customHeight="false" outlineLevel="0" collapsed="false">
      <c r="A25" s="1" t="s">
        <v>40</v>
      </c>
      <c r="B25" s="0" t="s">
        <v>292</v>
      </c>
      <c r="C25" s="0" t="s">
        <v>298</v>
      </c>
      <c r="D25" s="0" t="s">
        <v>288</v>
      </c>
      <c r="E25" s="0" t="s">
        <v>47</v>
      </c>
      <c r="F25" s="1" t="s">
        <v>15</v>
      </c>
      <c r="G25" s="0" t="s">
        <v>303</v>
      </c>
      <c r="H25" s="0" t="n">
        <v>6</v>
      </c>
      <c r="I25" s="0" t="s">
        <v>204</v>
      </c>
      <c r="J25" s="0" t="s">
        <v>290</v>
      </c>
    </row>
    <row r="26" customFormat="false" ht="12.8" hidden="false" customHeight="false" outlineLevel="0" collapsed="false">
      <c r="A26" s="1" t="s">
        <v>40</v>
      </c>
      <c r="B26" s="0" t="s">
        <v>291</v>
      </c>
      <c r="C26" s="0" t="s">
        <v>286</v>
      </c>
      <c r="D26" s="0" t="s">
        <v>288</v>
      </c>
      <c r="E26" s="0" t="s">
        <v>47</v>
      </c>
      <c r="F26" s="1" t="s">
        <v>31</v>
      </c>
      <c r="G26" s="0" t="s">
        <v>293</v>
      </c>
      <c r="H26" s="0" t="n">
        <v>6</v>
      </c>
      <c r="I26" s="0" t="s">
        <v>204</v>
      </c>
      <c r="J26" s="0" t="s">
        <v>290</v>
      </c>
    </row>
    <row r="27" customFormat="false" ht="12.8" hidden="false" customHeight="false" outlineLevel="0" collapsed="false">
      <c r="A27" s="1" t="s">
        <v>41</v>
      </c>
      <c r="B27" s="0" t="s">
        <v>295</v>
      </c>
      <c r="C27" s="0" t="s">
        <v>287</v>
      </c>
      <c r="D27" s="0" t="s">
        <v>288</v>
      </c>
      <c r="E27" s="0" t="s">
        <v>47</v>
      </c>
      <c r="F27" s="1" t="s">
        <v>25</v>
      </c>
      <c r="G27" s="0" t="s">
        <v>305</v>
      </c>
      <c r="H27" s="0" t="n">
        <v>7</v>
      </c>
      <c r="I27" s="0" t="s">
        <v>204</v>
      </c>
      <c r="J27" s="0" t="s">
        <v>290</v>
      </c>
    </row>
    <row r="28" customFormat="false" ht="12.8" hidden="false" customHeight="false" outlineLevel="0" collapsed="false">
      <c r="A28" s="1" t="s">
        <v>41</v>
      </c>
      <c r="B28" s="0" t="s">
        <v>286</v>
      </c>
      <c r="C28" s="0" t="s">
        <v>292</v>
      </c>
      <c r="D28" s="0" t="s">
        <v>288</v>
      </c>
      <c r="E28" s="0" t="s">
        <v>47</v>
      </c>
      <c r="F28" s="1" t="s">
        <v>25</v>
      </c>
      <c r="G28" s="0" t="s">
        <v>289</v>
      </c>
      <c r="H28" s="0" t="n">
        <v>7</v>
      </c>
      <c r="I28" s="0" t="s">
        <v>204</v>
      </c>
      <c r="J28" s="0" t="s">
        <v>290</v>
      </c>
    </row>
    <row r="29" customFormat="false" ht="12.8" hidden="false" customHeight="false" outlineLevel="0" collapsed="false">
      <c r="A29" s="1" t="s">
        <v>41</v>
      </c>
      <c r="B29" s="0" t="s">
        <v>294</v>
      </c>
      <c r="C29" s="0" t="s">
        <v>300</v>
      </c>
      <c r="D29" s="0" t="s">
        <v>288</v>
      </c>
      <c r="E29" s="0" t="s">
        <v>47</v>
      </c>
      <c r="F29" s="1" t="s">
        <v>31</v>
      </c>
      <c r="G29" s="0" t="s">
        <v>296</v>
      </c>
      <c r="H29" s="0" t="n">
        <v>7</v>
      </c>
      <c r="I29" s="0" t="s">
        <v>204</v>
      </c>
      <c r="J29" s="0" t="s">
        <v>290</v>
      </c>
    </row>
    <row r="30" customFormat="false" ht="12.8" hidden="false" customHeight="false" outlineLevel="0" collapsed="false">
      <c r="A30" s="1" t="s">
        <v>41</v>
      </c>
      <c r="B30" s="0" t="s">
        <v>298</v>
      </c>
      <c r="C30" s="0" t="s">
        <v>301</v>
      </c>
      <c r="D30" s="0" t="s">
        <v>288</v>
      </c>
      <c r="E30" s="0" t="s">
        <v>47</v>
      </c>
      <c r="F30" s="1" t="s">
        <v>31</v>
      </c>
      <c r="G30" s="0" t="s">
        <v>304</v>
      </c>
      <c r="H30" s="0" t="n">
        <v>7</v>
      </c>
      <c r="I30" s="0" t="s">
        <v>204</v>
      </c>
      <c r="J30" s="0" t="s">
        <v>290</v>
      </c>
    </row>
    <row r="31" customFormat="false" ht="12.8" hidden="false" customHeight="false" outlineLevel="0" collapsed="false">
      <c r="A31" s="1" t="s">
        <v>41</v>
      </c>
      <c r="B31" s="0" t="s">
        <v>297</v>
      </c>
      <c r="C31" s="0" t="s">
        <v>291</v>
      </c>
      <c r="D31" s="0" t="s">
        <v>288</v>
      </c>
      <c r="E31" s="0" t="s">
        <v>47</v>
      </c>
      <c r="F31" s="1" t="s">
        <v>15</v>
      </c>
      <c r="G31" s="0" t="s">
        <v>299</v>
      </c>
      <c r="H31" s="0" t="n">
        <v>7</v>
      </c>
      <c r="I31" s="0" t="s">
        <v>204</v>
      </c>
      <c r="J31" s="0" t="s">
        <v>290</v>
      </c>
    </row>
    <row r="32" customFormat="false" ht="12.8" hidden="false" customHeight="false" outlineLevel="0" collapsed="false">
      <c r="A32" s="1" t="s">
        <v>42</v>
      </c>
      <c r="B32" s="0" t="s">
        <v>292</v>
      </c>
      <c r="C32" s="0" t="s">
        <v>297</v>
      </c>
      <c r="D32" s="0" t="s">
        <v>288</v>
      </c>
      <c r="E32" s="0" t="s">
        <v>47</v>
      </c>
      <c r="F32" s="1" t="s">
        <v>15</v>
      </c>
      <c r="G32" s="0" t="s">
        <v>303</v>
      </c>
      <c r="H32" s="0" t="n">
        <v>8</v>
      </c>
      <c r="I32" s="0" t="s">
        <v>204</v>
      </c>
      <c r="J32" s="0" t="s">
        <v>290</v>
      </c>
    </row>
    <row r="33" customFormat="false" ht="12.8" hidden="false" customHeight="false" outlineLevel="0" collapsed="false">
      <c r="A33" s="1" t="s">
        <v>42</v>
      </c>
      <c r="B33" s="0" t="s">
        <v>291</v>
      </c>
      <c r="C33" s="0" t="s">
        <v>294</v>
      </c>
      <c r="D33" s="0" t="s">
        <v>288</v>
      </c>
      <c r="E33" s="0" t="s">
        <v>47</v>
      </c>
      <c r="F33" s="1" t="s">
        <v>31</v>
      </c>
      <c r="G33" s="0" t="s">
        <v>293</v>
      </c>
      <c r="H33" s="0" t="n">
        <v>8</v>
      </c>
      <c r="I33" s="0" t="s">
        <v>204</v>
      </c>
      <c r="J33" s="0" t="s">
        <v>290</v>
      </c>
    </row>
    <row r="34" customFormat="false" ht="12.8" hidden="false" customHeight="false" outlineLevel="0" collapsed="false">
      <c r="A34" s="1" t="s">
        <v>42</v>
      </c>
      <c r="B34" s="0" t="s">
        <v>295</v>
      </c>
      <c r="C34" s="0" t="s">
        <v>298</v>
      </c>
      <c r="D34" s="0" t="s">
        <v>288</v>
      </c>
      <c r="E34" s="0" t="s">
        <v>47</v>
      </c>
      <c r="F34" s="1" t="s">
        <v>25</v>
      </c>
      <c r="G34" s="0" t="s">
        <v>305</v>
      </c>
      <c r="H34" s="0" t="n">
        <v>8</v>
      </c>
      <c r="I34" s="0" t="s">
        <v>204</v>
      </c>
      <c r="J34" s="0" t="s">
        <v>290</v>
      </c>
    </row>
    <row r="35" customFormat="false" ht="12.8" hidden="false" customHeight="false" outlineLevel="0" collapsed="false">
      <c r="A35" s="1" t="s">
        <v>42</v>
      </c>
      <c r="B35" s="0" t="s">
        <v>287</v>
      </c>
      <c r="C35" s="0" t="s">
        <v>300</v>
      </c>
      <c r="D35" s="0" t="s">
        <v>288</v>
      </c>
      <c r="E35" s="0" t="s">
        <v>47</v>
      </c>
      <c r="F35" s="1" t="s">
        <v>15</v>
      </c>
      <c r="G35" s="0" t="s">
        <v>307</v>
      </c>
      <c r="H35" s="0" t="n">
        <v>8</v>
      </c>
      <c r="I35" s="0" t="s">
        <v>204</v>
      </c>
      <c r="J35" s="0" t="s">
        <v>290</v>
      </c>
    </row>
    <row r="36" customFormat="false" ht="12.8" hidden="false" customHeight="false" outlineLevel="0" collapsed="false">
      <c r="A36" s="1" t="s">
        <v>42</v>
      </c>
      <c r="B36" s="0" t="s">
        <v>301</v>
      </c>
      <c r="C36" s="0" t="s">
        <v>286</v>
      </c>
      <c r="D36" s="0" t="s">
        <v>288</v>
      </c>
      <c r="E36" s="0" t="s">
        <v>47</v>
      </c>
      <c r="F36" s="1" t="s">
        <v>31</v>
      </c>
      <c r="G36" s="0" t="s">
        <v>306</v>
      </c>
      <c r="H36" s="0" t="n">
        <v>8</v>
      </c>
      <c r="I36" s="0" t="s">
        <v>204</v>
      </c>
      <c r="J36" s="0" t="s">
        <v>290</v>
      </c>
    </row>
    <row r="37" customFormat="false" ht="12.8" hidden="false" customHeight="false" outlineLevel="0" collapsed="false">
      <c r="A37" s="1" t="s">
        <v>43</v>
      </c>
      <c r="B37" s="0" t="s">
        <v>298</v>
      </c>
      <c r="C37" s="0" t="s">
        <v>287</v>
      </c>
      <c r="D37" s="0" t="s">
        <v>288</v>
      </c>
      <c r="E37" s="0" t="s">
        <v>47</v>
      </c>
      <c r="F37" s="1" t="s">
        <v>31</v>
      </c>
      <c r="G37" s="0" t="s">
        <v>304</v>
      </c>
      <c r="H37" s="0" t="n">
        <v>9</v>
      </c>
      <c r="I37" s="0" t="s">
        <v>204</v>
      </c>
      <c r="J37" s="0" t="s">
        <v>290</v>
      </c>
    </row>
    <row r="38" customFormat="false" ht="12.8" hidden="false" customHeight="false" outlineLevel="0" collapsed="false">
      <c r="A38" s="1" t="s">
        <v>43</v>
      </c>
      <c r="B38" s="0" t="s">
        <v>294</v>
      </c>
      <c r="C38" s="0" t="s">
        <v>292</v>
      </c>
      <c r="D38" s="0" t="s">
        <v>288</v>
      </c>
      <c r="E38" s="0" t="s">
        <v>47</v>
      </c>
      <c r="F38" s="1" t="s">
        <v>31</v>
      </c>
      <c r="G38" s="0" t="s">
        <v>296</v>
      </c>
      <c r="H38" s="0" t="n">
        <v>9</v>
      </c>
      <c r="I38" s="0" t="s">
        <v>204</v>
      </c>
      <c r="J38" s="0" t="s">
        <v>290</v>
      </c>
    </row>
    <row r="39" customFormat="false" ht="12.8" hidden="false" customHeight="false" outlineLevel="0" collapsed="false">
      <c r="A39" s="1" t="s">
        <v>43</v>
      </c>
      <c r="B39" s="0" t="s">
        <v>286</v>
      </c>
      <c r="C39" s="0" t="s">
        <v>295</v>
      </c>
      <c r="D39" s="0" t="s">
        <v>288</v>
      </c>
      <c r="E39" s="0" t="s">
        <v>47</v>
      </c>
      <c r="F39" s="1" t="s">
        <v>25</v>
      </c>
      <c r="G39" s="0" t="s">
        <v>289</v>
      </c>
      <c r="H39" s="0" t="n">
        <v>9</v>
      </c>
      <c r="I39" s="0" t="s">
        <v>204</v>
      </c>
      <c r="J39" s="0" t="s">
        <v>290</v>
      </c>
    </row>
    <row r="40" customFormat="false" ht="12.8" hidden="false" customHeight="false" outlineLevel="0" collapsed="false">
      <c r="A40" s="1" t="s">
        <v>43</v>
      </c>
      <c r="B40" s="0" t="s">
        <v>297</v>
      </c>
      <c r="C40" s="0" t="s">
        <v>301</v>
      </c>
      <c r="D40" s="0" t="s">
        <v>288</v>
      </c>
      <c r="E40" s="0" t="s">
        <v>47</v>
      </c>
      <c r="F40" s="1" t="s">
        <v>15</v>
      </c>
      <c r="G40" s="0" t="s">
        <v>299</v>
      </c>
      <c r="H40" s="0" t="n">
        <v>9</v>
      </c>
      <c r="I40" s="0" t="s">
        <v>204</v>
      </c>
      <c r="J40" s="0" t="s">
        <v>290</v>
      </c>
    </row>
    <row r="41" customFormat="false" ht="12.8" hidden="false" customHeight="false" outlineLevel="0" collapsed="false">
      <c r="A41" s="1" t="s">
        <v>43</v>
      </c>
      <c r="B41" s="0" t="s">
        <v>300</v>
      </c>
      <c r="C41" s="0" t="s">
        <v>291</v>
      </c>
      <c r="D41" s="0" t="s">
        <v>288</v>
      </c>
      <c r="E41" s="0" t="s">
        <v>47</v>
      </c>
      <c r="F41" s="1" t="s">
        <v>21</v>
      </c>
      <c r="G41" s="0" t="s">
        <v>302</v>
      </c>
      <c r="H41" s="0" t="n">
        <v>9</v>
      </c>
      <c r="I41" s="0" t="s">
        <v>204</v>
      </c>
      <c r="J41" s="0" t="s">
        <v>290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B4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26"/>
  <sheetViews>
    <sheetView showFormulas="false" showGridLines="true" showRowColHeaders="true" showZeros="true" rightToLeft="false" tabSelected="false" showOutlineSymbols="true" defaultGridColor="true" view="normal" topLeftCell="A190" colorId="64" zoomScale="100" zoomScaleNormal="100" zoomScalePageLayoutView="100" workbookViewId="0">
      <selection pane="topLeft" activeCell="A47" activeCellId="0" sqref="A47"/>
    </sheetView>
  </sheetViews>
  <sheetFormatPr defaultColWidth="11.89453125" defaultRowHeight="12.5" zeroHeight="false" outlineLevelRow="0" outlineLevelCol="0"/>
  <cols>
    <col collapsed="false" customWidth="true" hidden="false" outlineLevel="0" max="1" min="1" style="5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7.17"/>
    <col collapsed="false" customWidth="true" hidden="false" outlineLevel="0" max="8" min="8" style="0" width="8.36"/>
    <col collapsed="false" customWidth="true" hidden="false" outlineLevel="0" max="9" min="9" style="0" width="10.27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5" t="s">
        <v>0</v>
      </c>
      <c r="B1" s="0" t="s">
        <v>1</v>
      </c>
      <c r="C1" s="0" t="s">
        <v>2</v>
      </c>
      <c r="D1" s="0" t="s">
        <v>3</v>
      </c>
      <c r="E1" s="4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5" t="n">
        <v>46053</v>
      </c>
      <c r="B2" s="0" t="s">
        <v>308</v>
      </c>
      <c r="C2" s="0" t="s">
        <v>309</v>
      </c>
      <c r="D2" s="0" t="s">
        <v>310</v>
      </c>
      <c r="E2" s="0" t="s">
        <v>311</v>
      </c>
      <c r="F2" s="1" t="s">
        <v>312</v>
      </c>
      <c r="G2" s="0" t="s">
        <v>313</v>
      </c>
      <c r="H2" s="0" t="n">
        <v>1</v>
      </c>
      <c r="I2" s="0" t="s">
        <v>314</v>
      </c>
      <c r="J2" s="0" t="s">
        <v>315</v>
      </c>
    </row>
    <row r="3" customFormat="false" ht="12.5" hidden="false" customHeight="false" outlineLevel="0" collapsed="false">
      <c r="A3" s="5" t="n">
        <v>46053</v>
      </c>
      <c r="B3" s="0" t="s">
        <v>316</v>
      </c>
      <c r="C3" s="0" t="s">
        <v>317</v>
      </c>
      <c r="D3" s="0" t="s">
        <v>310</v>
      </c>
      <c r="E3" s="0" t="s">
        <v>311</v>
      </c>
      <c r="F3" s="1" t="s">
        <v>318</v>
      </c>
      <c r="G3" s="0" t="s">
        <v>319</v>
      </c>
      <c r="H3" s="0" t="n">
        <v>1</v>
      </c>
      <c r="I3" s="0" t="s">
        <v>314</v>
      </c>
      <c r="J3" s="0" t="s">
        <v>315</v>
      </c>
    </row>
    <row r="4" customFormat="false" ht="12.5" hidden="false" customHeight="false" outlineLevel="0" collapsed="false">
      <c r="A4" s="5" t="n">
        <v>46053</v>
      </c>
      <c r="B4" s="0" t="s">
        <v>320</v>
      </c>
      <c r="C4" s="0" t="s">
        <v>321</v>
      </c>
      <c r="D4" s="0" t="s">
        <v>310</v>
      </c>
      <c r="E4" s="0" t="s">
        <v>311</v>
      </c>
      <c r="F4" s="1" t="s">
        <v>322</v>
      </c>
      <c r="G4" s="0" t="s">
        <v>323</v>
      </c>
      <c r="H4" s="0" t="n">
        <v>1</v>
      </c>
      <c r="I4" s="0" t="s">
        <v>314</v>
      </c>
      <c r="J4" s="0" t="s">
        <v>315</v>
      </c>
    </row>
    <row r="5" customFormat="false" ht="12.5" hidden="false" customHeight="false" outlineLevel="0" collapsed="false">
      <c r="A5" s="5" t="n">
        <v>46053</v>
      </c>
      <c r="B5" s="0" t="s">
        <v>324</v>
      </c>
      <c r="C5" s="0" t="s">
        <v>325</v>
      </c>
      <c r="D5" s="0" t="s">
        <v>310</v>
      </c>
      <c r="E5" s="0" t="s">
        <v>311</v>
      </c>
      <c r="F5" s="1" t="s">
        <v>318</v>
      </c>
      <c r="G5" s="0" t="s">
        <v>326</v>
      </c>
      <c r="H5" s="0" t="n">
        <v>1</v>
      </c>
      <c r="I5" s="0" t="s">
        <v>314</v>
      </c>
      <c r="J5" s="0" t="s">
        <v>315</v>
      </c>
    </row>
    <row r="6" customFormat="false" ht="12.5" hidden="false" customHeight="false" outlineLevel="0" collapsed="false">
      <c r="A6" s="5" t="n">
        <v>46054</v>
      </c>
      <c r="B6" s="0" t="s">
        <v>327</v>
      </c>
      <c r="C6" s="0" t="s">
        <v>328</v>
      </c>
      <c r="D6" s="0" t="s">
        <v>310</v>
      </c>
      <c r="E6" s="0" t="s">
        <v>311</v>
      </c>
      <c r="F6" s="1" t="s">
        <v>329</v>
      </c>
      <c r="G6" s="0" t="s">
        <v>330</v>
      </c>
      <c r="H6" s="0" t="n">
        <v>1</v>
      </c>
      <c r="I6" s="0" t="s">
        <v>314</v>
      </c>
      <c r="J6" s="0" t="s">
        <v>315</v>
      </c>
    </row>
    <row r="7" customFormat="false" ht="12.5" hidden="false" customHeight="false" outlineLevel="0" collapsed="false">
      <c r="A7" s="5" t="n">
        <v>46060</v>
      </c>
      <c r="B7" s="0" t="s">
        <v>309</v>
      </c>
      <c r="C7" s="0" t="s">
        <v>316</v>
      </c>
      <c r="D7" s="0" t="s">
        <v>310</v>
      </c>
      <c r="E7" s="0" t="s">
        <v>311</v>
      </c>
      <c r="F7" s="1" t="s">
        <v>331</v>
      </c>
      <c r="G7" s="0" t="s">
        <v>332</v>
      </c>
      <c r="H7" s="0" t="n">
        <v>2</v>
      </c>
      <c r="I7" s="0" t="s">
        <v>314</v>
      </c>
      <c r="J7" s="0" t="s">
        <v>315</v>
      </c>
    </row>
    <row r="8" customFormat="false" ht="12.5" hidden="false" customHeight="false" outlineLevel="0" collapsed="false">
      <c r="A8" s="5" t="n">
        <v>46060</v>
      </c>
      <c r="B8" s="0" t="s">
        <v>317</v>
      </c>
      <c r="C8" s="0" t="s">
        <v>327</v>
      </c>
      <c r="D8" s="0" t="s">
        <v>310</v>
      </c>
      <c r="E8" s="0" t="s">
        <v>311</v>
      </c>
      <c r="F8" s="1" t="s">
        <v>318</v>
      </c>
      <c r="G8" s="0" t="s">
        <v>333</v>
      </c>
      <c r="H8" s="0" t="n">
        <v>2</v>
      </c>
      <c r="I8" s="0" t="s">
        <v>314</v>
      </c>
      <c r="J8" s="0" t="s">
        <v>315</v>
      </c>
    </row>
    <row r="9" customFormat="false" ht="12.5" hidden="false" customHeight="false" outlineLevel="0" collapsed="false">
      <c r="A9" s="5" t="n">
        <v>46060</v>
      </c>
      <c r="B9" s="0" t="s">
        <v>321</v>
      </c>
      <c r="C9" s="0" t="s">
        <v>324</v>
      </c>
      <c r="D9" s="0" t="s">
        <v>310</v>
      </c>
      <c r="E9" s="0" t="s">
        <v>311</v>
      </c>
      <c r="F9" s="1" t="s">
        <v>334</v>
      </c>
      <c r="G9" s="0" t="s">
        <v>335</v>
      </c>
      <c r="H9" s="0" t="n">
        <v>2</v>
      </c>
      <c r="I9" s="0" t="s">
        <v>314</v>
      </c>
      <c r="J9" s="0" t="s">
        <v>315</v>
      </c>
    </row>
    <row r="10" customFormat="false" ht="12.5" hidden="false" customHeight="false" outlineLevel="0" collapsed="false">
      <c r="A10" s="5" t="n">
        <v>46060</v>
      </c>
      <c r="B10" s="0" t="s">
        <v>328</v>
      </c>
      <c r="C10" s="0" t="s">
        <v>320</v>
      </c>
      <c r="D10" s="0" t="s">
        <v>310</v>
      </c>
      <c r="E10" s="0" t="s">
        <v>311</v>
      </c>
      <c r="F10" s="1" t="s">
        <v>336</v>
      </c>
      <c r="G10" s="0" t="s">
        <v>337</v>
      </c>
      <c r="H10" s="0" t="n">
        <v>2</v>
      </c>
      <c r="I10" s="0" t="s">
        <v>314</v>
      </c>
      <c r="J10" s="0" t="s">
        <v>315</v>
      </c>
    </row>
    <row r="11" customFormat="false" ht="12.5" hidden="false" customHeight="false" outlineLevel="0" collapsed="false">
      <c r="A11" s="5" t="n">
        <v>46060</v>
      </c>
      <c r="B11" s="0" t="s">
        <v>325</v>
      </c>
      <c r="C11" s="0" t="s">
        <v>308</v>
      </c>
      <c r="D11" s="0" t="s">
        <v>310</v>
      </c>
      <c r="E11" s="0" t="s">
        <v>311</v>
      </c>
      <c r="F11" s="1" t="s">
        <v>336</v>
      </c>
      <c r="G11" s="0" t="s">
        <v>338</v>
      </c>
      <c r="H11" s="0" t="n">
        <v>2</v>
      </c>
      <c r="I11" s="0" t="s">
        <v>314</v>
      </c>
      <c r="J11" s="0" t="s">
        <v>315</v>
      </c>
    </row>
    <row r="12" customFormat="false" ht="12.5" hidden="false" customHeight="false" outlineLevel="0" collapsed="false">
      <c r="A12" s="5" t="n">
        <v>46067</v>
      </c>
      <c r="B12" s="0" t="s">
        <v>324</v>
      </c>
      <c r="C12" s="0" t="s">
        <v>328</v>
      </c>
      <c r="D12" s="0" t="s">
        <v>310</v>
      </c>
      <c r="E12" s="0" t="s">
        <v>311</v>
      </c>
      <c r="F12" s="1" t="s">
        <v>318</v>
      </c>
      <c r="G12" s="0" t="s">
        <v>326</v>
      </c>
      <c r="H12" s="0" t="n">
        <v>3</v>
      </c>
      <c r="I12" s="0" t="s">
        <v>314</v>
      </c>
      <c r="J12" s="0" t="s">
        <v>315</v>
      </c>
    </row>
    <row r="13" customFormat="false" ht="12.5" hidden="false" customHeight="false" outlineLevel="0" collapsed="false">
      <c r="A13" s="5" t="n">
        <v>46067</v>
      </c>
      <c r="B13" s="0" t="s">
        <v>320</v>
      </c>
      <c r="C13" s="0" t="s">
        <v>317</v>
      </c>
      <c r="D13" s="0" t="s">
        <v>310</v>
      </c>
      <c r="E13" s="0" t="s">
        <v>311</v>
      </c>
      <c r="F13" s="1" t="s">
        <v>322</v>
      </c>
      <c r="G13" s="0" t="s">
        <v>323</v>
      </c>
      <c r="H13" s="0" t="n">
        <v>3</v>
      </c>
      <c r="I13" s="0" t="s">
        <v>314</v>
      </c>
      <c r="J13" s="0" t="s">
        <v>315</v>
      </c>
    </row>
    <row r="14" customFormat="false" ht="12.5" hidden="false" customHeight="false" outlineLevel="0" collapsed="false">
      <c r="A14" s="5" t="n">
        <v>46067</v>
      </c>
      <c r="B14" s="0" t="s">
        <v>308</v>
      </c>
      <c r="C14" s="0" t="s">
        <v>321</v>
      </c>
      <c r="D14" s="0" t="s">
        <v>310</v>
      </c>
      <c r="E14" s="0" t="s">
        <v>311</v>
      </c>
      <c r="F14" s="1" t="s">
        <v>312</v>
      </c>
      <c r="G14" s="0" t="s">
        <v>313</v>
      </c>
      <c r="H14" s="0" t="n">
        <v>3</v>
      </c>
      <c r="I14" s="0" t="s">
        <v>314</v>
      </c>
      <c r="J14" s="0" t="s">
        <v>315</v>
      </c>
    </row>
    <row r="15" customFormat="false" ht="12.5" hidden="false" customHeight="false" outlineLevel="0" collapsed="false">
      <c r="A15" s="5" t="n">
        <v>46067</v>
      </c>
      <c r="B15" s="0" t="s">
        <v>309</v>
      </c>
      <c r="C15" s="0" t="s">
        <v>325</v>
      </c>
      <c r="D15" s="0" t="s">
        <v>310</v>
      </c>
      <c r="E15" s="0" t="s">
        <v>311</v>
      </c>
      <c r="F15" s="1" t="s">
        <v>331</v>
      </c>
      <c r="G15" s="0" t="s">
        <v>332</v>
      </c>
      <c r="H15" s="0" t="n">
        <v>3</v>
      </c>
      <c r="I15" s="0" t="s">
        <v>314</v>
      </c>
      <c r="J15" s="0" t="s">
        <v>315</v>
      </c>
    </row>
    <row r="16" customFormat="false" ht="12.5" hidden="false" customHeight="false" outlineLevel="0" collapsed="false">
      <c r="A16" s="5" t="n">
        <v>46068</v>
      </c>
      <c r="B16" s="0" t="s">
        <v>327</v>
      </c>
      <c r="C16" s="0" t="s">
        <v>316</v>
      </c>
      <c r="D16" s="0" t="s">
        <v>310</v>
      </c>
      <c r="E16" s="0" t="s">
        <v>311</v>
      </c>
      <c r="F16" s="1" t="s">
        <v>329</v>
      </c>
      <c r="G16" s="0" t="s">
        <v>330</v>
      </c>
      <c r="H16" s="0" t="n">
        <v>3</v>
      </c>
      <c r="I16" s="0" t="s">
        <v>314</v>
      </c>
      <c r="J16" s="0" t="s">
        <v>315</v>
      </c>
    </row>
    <row r="17" customFormat="false" ht="12.5" hidden="false" customHeight="false" outlineLevel="0" collapsed="false">
      <c r="A17" s="5" t="n">
        <v>46074</v>
      </c>
      <c r="B17" s="0" t="s">
        <v>317</v>
      </c>
      <c r="C17" s="0" t="s">
        <v>324</v>
      </c>
      <c r="D17" s="0" t="s">
        <v>310</v>
      </c>
      <c r="E17" s="0" t="s">
        <v>311</v>
      </c>
      <c r="F17" s="1" t="s">
        <v>318</v>
      </c>
      <c r="G17" s="0" t="s">
        <v>333</v>
      </c>
      <c r="H17" s="0" t="n">
        <v>4</v>
      </c>
      <c r="I17" s="0" t="s">
        <v>314</v>
      </c>
      <c r="J17" s="0" t="s">
        <v>315</v>
      </c>
    </row>
    <row r="18" customFormat="false" ht="12.5" hidden="false" customHeight="false" outlineLevel="0" collapsed="false">
      <c r="A18" s="5" t="n">
        <v>46074</v>
      </c>
      <c r="B18" s="0" t="s">
        <v>321</v>
      </c>
      <c r="C18" s="0" t="s">
        <v>309</v>
      </c>
      <c r="D18" s="0" t="s">
        <v>310</v>
      </c>
      <c r="E18" s="0" t="s">
        <v>311</v>
      </c>
      <c r="F18" s="1" t="s">
        <v>334</v>
      </c>
      <c r="G18" s="0" t="s">
        <v>335</v>
      </c>
      <c r="H18" s="0" t="n">
        <v>4</v>
      </c>
      <c r="I18" s="0" t="s">
        <v>314</v>
      </c>
      <c r="J18" s="0" t="s">
        <v>315</v>
      </c>
    </row>
    <row r="19" customFormat="false" ht="12.5" hidden="false" customHeight="false" outlineLevel="0" collapsed="false">
      <c r="A19" s="5" t="n">
        <v>46074</v>
      </c>
      <c r="B19" s="0" t="s">
        <v>316</v>
      </c>
      <c r="C19" s="0" t="s">
        <v>325</v>
      </c>
      <c r="D19" s="0" t="s">
        <v>310</v>
      </c>
      <c r="E19" s="0" t="s">
        <v>311</v>
      </c>
      <c r="F19" s="1" t="s">
        <v>318</v>
      </c>
      <c r="G19" s="0" t="s">
        <v>319</v>
      </c>
      <c r="H19" s="0" t="n">
        <v>4</v>
      </c>
      <c r="I19" s="0" t="s">
        <v>314</v>
      </c>
      <c r="J19" s="0" t="s">
        <v>315</v>
      </c>
    </row>
    <row r="20" customFormat="false" ht="12.5" hidden="false" customHeight="false" outlineLevel="0" collapsed="false">
      <c r="A20" s="5" t="n">
        <v>46074</v>
      </c>
      <c r="B20" s="0" t="s">
        <v>328</v>
      </c>
      <c r="C20" s="0" t="s">
        <v>308</v>
      </c>
      <c r="D20" s="0" t="s">
        <v>310</v>
      </c>
      <c r="E20" s="0" t="s">
        <v>311</v>
      </c>
      <c r="F20" s="1" t="s">
        <v>336</v>
      </c>
      <c r="G20" s="0" t="s">
        <v>337</v>
      </c>
      <c r="H20" s="0" t="n">
        <v>4</v>
      </c>
      <c r="I20" s="0" t="s">
        <v>314</v>
      </c>
      <c r="J20" s="0" t="s">
        <v>315</v>
      </c>
    </row>
    <row r="21" customFormat="false" ht="12.5" hidden="false" customHeight="false" outlineLevel="0" collapsed="false">
      <c r="A21" s="5" t="n">
        <v>46075</v>
      </c>
      <c r="B21" s="0" t="s">
        <v>327</v>
      </c>
      <c r="C21" s="0" t="s">
        <v>320</v>
      </c>
      <c r="D21" s="0" t="s">
        <v>310</v>
      </c>
      <c r="E21" s="0" t="s">
        <v>311</v>
      </c>
      <c r="F21" s="1" t="s">
        <v>329</v>
      </c>
      <c r="G21" s="0" t="s">
        <v>330</v>
      </c>
      <c r="H21" s="0" t="n">
        <v>4</v>
      </c>
      <c r="I21" s="0" t="s">
        <v>314</v>
      </c>
      <c r="J21" s="0" t="s">
        <v>315</v>
      </c>
    </row>
    <row r="22" customFormat="false" ht="12.5" hidden="false" customHeight="false" outlineLevel="0" collapsed="false">
      <c r="A22" s="5" t="n">
        <v>46081</v>
      </c>
      <c r="B22" s="0" t="s">
        <v>309</v>
      </c>
      <c r="C22" s="0" t="s">
        <v>328</v>
      </c>
      <c r="D22" s="0" t="s">
        <v>310</v>
      </c>
      <c r="E22" s="0" t="s">
        <v>311</v>
      </c>
      <c r="F22" s="1" t="s">
        <v>331</v>
      </c>
      <c r="G22" s="0" t="s">
        <v>332</v>
      </c>
      <c r="H22" s="0" t="n">
        <v>5</v>
      </c>
      <c r="I22" s="0" t="s">
        <v>314</v>
      </c>
      <c r="J22" s="0" t="s">
        <v>315</v>
      </c>
    </row>
    <row r="23" customFormat="false" ht="12.5" hidden="false" customHeight="false" outlineLevel="0" collapsed="false">
      <c r="A23" s="5" t="n">
        <v>46081</v>
      </c>
      <c r="B23" s="0" t="s">
        <v>320</v>
      </c>
      <c r="C23" s="0" t="s">
        <v>316</v>
      </c>
      <c r="D23" s="0" t="s">
        <v>310</v>
      </c>
      <c r="E23" s="0" t="s">
        <v>311</v>
      </c>
      <c r="F23" s="1" t="s">
        <v>322</v>
      </c>
      <c r="G23" s="0" t="s">
        <v>323</v>
      </c>
      <c r="H23" s="0" t="n">
        <v>5</v>
      </c>
      <c r="I23" s="0" t="s">
        <v>314</v>
      </c>
      <c r="J23" s="0" t="s">
        <v>315</v>
      </c>
    </row>
    <row r="24" customFormat="false" ht="12.5" hidden="false" customHeight="false" outlineLevel="0" collapsed="false">
      <c r="A24" s="5" t="n">
        <v>46081</v>
      </c>
      <c r="B24" s="0" t="s">
        <v>324</v>
      </c>
      <c r="C24" s="0" t="s">
        <v>327</v>
      </c>
      <c r="D24" s="0" t="s">
        <v>310</v>
      </c>
      <c r="E24" s="0" t="s">
        <v>311</v>
      </c>
      <c r="F24" s="1" t="s">
        <v>318</v>
      </c>
      <c r="G24" s="0" t="s">
        <v>326</v>
      </c>
      <c r="H24" s="0" t="n">
        <v>5</v>
      </c>
      <c r="I24" s="0" t="s">
        <v>314</v>
      </c>
      <c r="J24" s="0" t="s">
        <v>315</v>
      </c>
    </row>
    <row r="25" customFormat="false" ht="12.5" hidden="false" customHeight="false" outlineLevel="0" collapsed="false">
      <c r="A25" s="5" t="n">
        <v>46081</v>
      </c>
      <c r="B25" s="0" t="s">
        <v>308</v>
      </c>
      <c r="C25" s="0" t="s">
        <v>317</v>
      </c>
      <c r="D25" s="0" t="s">
        <v>310</v>
      </c>
      <c r="E25" s="0" t="s">
        <v>311</v>
      </c>
      <c r="F25" s="1" t="s">
        <v>312</v>
      </c>
      <c r="G25" s="0" t="s">
        <v>313</v>
      </c>
      <c r="H25" s="0" t="n">
        <v>5</v>
      </c>
      <c r="I25" s="0" t="s">
        <v>314</v>
      </c>
      <c r="J25" s="0" t="s">
        <v>315</v>
      </c>
    </row>
    <row r="26" customFormat="false" ht="12.5" hidden="false" customHeight="false" outlineLevel="0" collapsed="false">
      <c r="A26" s="5" t="n">
        <v>46081</v>
      </c>
      <c r="B26" s="0" t="s">
        <v>325</v>
      </c>
      <c r="C26" s="0" t="s">
        <v>321</v>
      </c>
      <c r="D26" s="0" t="s">
        <v>310</v>
      </c>
      <c r="E26" s="0" t="s">
        <v>311</v>
      </c>
      <c r="F26" s="1" t="s">
        <v>336</v>
      </c>
      <c r="G26" s="0" t="s">
        <v>338</v>
      </c>
      <c r="H26" s="0" t="n">
        <v>5</v>
      </c>
      <c r="I26" s="0" t="s">
        <v>314</v>
      </c>
      <c r="J26" s="0" t="s">
        <v>315</v>
      </c>
    </row>
    <row r="27" customFormat="false" ht="12.5" hidden="false" customHeight="false" outlineLevel="0" collapsed="false">
      <c r="A27" s="5" t="n">
        <v>46088</v>
      </c>
      <c r="B27" s="0" t="s">
        <v>324</v>
      </c>
      <c r="C27" s="0" t="s">
        <v>320</v>
      </c>
      <c r="D27" s="0" t="s">
        <v>310</v>
      </c>
      <c r="E27" s="0" t="s">
        <v>311</v>
      </c>
      <c r="F27" s="1" t="s">
        <v>318</v>
      </c>
      <c r="G27" s="0" t="s">
        <v>326</v>
      </c>
      <c r="H27" s="0" t="n">
        <v>6</v>
      </c>
      <c r="I27" s="0" t="s">
        <v>314</v>
      </c>
      <c r="J27" s="0" t="s">
        <v>315</v>
      </c>
    </row>
    <row r="28" customFormat="false" ht="12.5" hidden="false" customHeight="false" outlineLevel="0" collapsed="false">
      <c r="A28" s="5" t="n">
        <v>46088</v>
      </c>
      <c r="B28" s="0" t="s">
        <v>309</v>
      </c>
      <c r="C28" s="0" t="s">
        <v>317</v>
      </c>
      <c r="D28" s="0" t="s">
        <v>310</v>
      </c>
      <c r="E28" s="0" t="s">
        <v>311</v>
      </c>
      <c r="F28" s="1" t="s">
        <v>331</v>
      </c>
      <c r="G28" s="0" t="s">
        <v>332</v>
      </c>
      <c r="H28" s="0" t="n">
        <v>6</v>
      </c>
      <c r="I28" s="0" t="s">
        <v>314</v>
      </c>
      <c r="J28" s="0" t="s">
        <v>315</v>
      </c>
    </row>
    <row r="29" customFormat="false" ht="12.5" hidden="false" customHeight="false" outlineLevel="0" collapsed="false">
      <c r="A29" s="5" t="n">
        <v>46088</v>
      </c>
      <c r="B29" s="0" t="s">
        <v>321</v>
      </c>
      <c r="C29" s="0" t="s">
        <v>316</v>
      </c>
      <c r="D29" s="0" t="s">
        <v>310</v>
      </c>
      <c r="E29" s="0" t="s">
        <v>311</v>
      </c>
      <c r="F29" s="1" t="s">
        <v>334</v>
      </c>
      <c r="G29" s="0" t="s">
        <v>335</v>
      </c>
      <c r="H29" s="0" t="n">
        <v>6</v>
      </c>
      <c r="I29" s="0" t="s">
        <v>314</v>
      </c>
      <c r="J29" s="0" t="s">
        <v>315</v>
      </c>
    </row>
    <row r="30" customFormat="false" ht="12.5" hidden="false" customHeight="false" outlineLevel="0" collapsed="false">
      <c r="A30" s="5" t="n">
        <v>46088</v>
      </c>
      <c r="B30" s="0" t="s">
        <v>325</v>
      </c>
      <c r="C30" s="0" t="s">
        <v>328</v>
      </c>
      <c r="D30" s="0" t="s">
        <v>310</v>
      </c>
      <c r="E30" s="0" t="s">
        <v>311</v>
      </c>
      <c r="F30" s="1" t="s">
        <v>336</v>
      </c>
      <c r="G30" s="0" t="s">
        <v>338</v>
      </c>
      <c r="H30" s="0" t="n">
        <v>6</v>
      </c>
      <c r="I30" s="0" t="s">
        <v>314</v>
      </c>
      <c r="J30" s="0" t="s">
        <v>315</v>
      </c>
    </row>
    <row r="31" customFormat="false" ht="12.5" hidden="false" customHeight="false" outlineLevel="0" collapsed="false">
      <c r="A31" s="5" t="n">
        <v>46088</v>
      </c>
      <c r="B31" s="0" t="s">
        <v>308</v>
      </c>
      <c r="C31" s="0" t="s">
        <v>327</v>
      </c>
      <c r="D31" s="0" t="s">
        <v>310</v>
      </c>
      <c r="E31" s="0" t="s">
        <v>311</v>
      </c>
      <c r="F31" s="1" t="s">
        <v>312</v>
      </c>
      <c r="G31" s="0" t="s">
        <v>313</v>
      </c>
      <c r="H31" s="0" t="n">
        <v>6</v>
      </c>
      <c r="I31" s="0" t="s">
        <v>314</v>
      </c>
      <c r="J31" s="0" t="s">
        <v>315</v>
      </c>
    </row>
    <row r="32" customFormat="false" ht="12.5" hidden="false" customHeight="false" outlineLevel="0" collapsed="false">
      <c r="A32" s="5" t="n">
        <v>46095</v>
      </c>
      <c r="B32" s="0" t="s">
        <v>328</v>
      </c>
      <c r="C32" s="0" t="s">
        <v>321</v>
      </c>
      <c r="D32" s="0" t="s">
        <v>310</v>
      </c>
      <c r="E32" s="0" t="s">
        <v>311</v>
      </c>
      <c r="F32" s="1" t="s">
        <v>336</v>
      </c>
      <c r="G32" s="0" t="s">
        <v>337</v>
      </c>
      <c r="H32" s="0" t="n">
        <v>7</v>
      </c>
      <c r="I32" s="0" t="s">
        <v>314</v>
      </c>
      <c r="J32" s="0" t="s">
        <v>315</v>
      </c>
    </row>
    <row r="33" customFormat="false" ht="12.5" hidden="false" customHeight="false" outlineLevel="0" collapsed="false">
      <c r="A33" s="5" t="n">
        <v>46095</v>
      </c>
      <c r="B33" s="0" t="s">
        <v>316</v>
      </c>
      <c r="C33" s="0" t="s">
        <v>324</v>
      </c>
      <c r="D33" s="0" t="s">
        <v>310</v>
      </c>
      <c r="E33" s="0" t="s">
        <v>311</v>
      </c>
      <c r="F33" s="1" t="s">
        <v>318</v>
      </c>
      <c r="G33" s="0" t="s">
        <v>319</v>
      </c>
      <c r="H33" s="0" t="n">
        <v>7</v>
      </c>
      <c r="I33" s="0" t="s">
        <v>314</v>
      </c>
      <c r="J33" s="0" t="s">
        <v>315</v>
      </c>
    </row>
    <row r="34" customFormat="false" ht="12.5" hidden="false" customHeight="false" outlineLevel="0" collapsed="false">
      <c r="A34" s="5" t="n">
        <v>46095</v>
      </c>
      <c r="B34" s="0" t="s">
        <v>317</v>
      </c>
      <c r="C34" s="0" t="s">
        <v>325</v>
      </c>
      <c r="D34" s="0" t="s">
        <v>310</v>
      </c>
      <c r="E34" s="0" t="s">
        <v>311</v>
      </c>
      <c r="F34" s="1" t="s">
        <v>318</v>
      </c>
      <c r="G34" s="0" t="s">
        <v>333</v>
      </c>
      <c r="H34" s="0" t="n">
        <v>7</v>
      </c>
      <c r="I34" s="0" t="s">
        <v>314</v>
      </c>
      <c r="J34" s="0" t="s">
        <v>315</v>
      </c>
    </row>
    <row r="35" customFormat="false" ht="12.5" hidden="false" customHeight="false" outlineLevel="0" collapsed="false">
      <c r="A35" s="5" t="n">
        <v>46095</v>
      </c>
      <c r="B35" s="0" t="s">
        <v>320</v>
      </c>
      <c r="C35" s="0" t="s">
        <v>308</v>
      </c>
      <c r="D35" s="0" t="s">
        <v>310</v>
      </c>
      <c r="E35" s="0" t="s">
        <v>311</v>
      </c>
      <c r="F35" s="1" t="s">
        <v>322</v>
      </c>
      <c r="G35" s="0" t="s">
        <v>323</v>
      </c>
      <c r="H35" s="0" t="n">
        <v>7</v>
      </c>
      <c r="I35" s="0" t="s">
        <v>314</v>
      </c>
      <c r="J35" s="0" t="s">
        <v>315</v>
      </c>
    </row>
    <row r="36" customFormat="false" ht="12.5" hidden="false" customHeight="false" outlineLevel="0" collapsed="false">
      <c r="A36" s="5" t="n">
        <v>46096</v>
      </c>
      <c r="B36" s="0" t="s">
        <v>327</v>
      </c>
      <c r="C36" s="0" t="s">
        <v>309</v>
      </c>
      <c r="D36" s="0" t="s">
        <v>310</v>
      </c>
      <c r="E36" s="0" t="s">
        <v>311</v>
      </c>
      <c r="F36" s="1" t="s">
        <v>329</v>
      </c>
      <c r="G36" s="0" t="s">
        <v>330</v>
      </c>
      <c r="H36" s="0" t="n">
        <v>7</v>
      </c>
      <c r="I36" s="0" t="s">
        <v>314</v>
      </c>
      <c r="J36" s="0" t="s">
        <v>315</v>
      </c>
    </row>
    <row r="37" customFormat="false" ht="12.5" hidden="false" customHeight="false" outlineLevel="0" collapsed="false">
      <c r="A37" s="5" t="n">
        <v>46102</v>
      </c>
      <c r="B37" s="0" t="s">
        <v>328</v>
      </c>
      <c r="C37" s="0" t="s">
        <v>316</v>
      </c>
      <c r="D37" s="0" t="s">
        <v>310</v>
      </c>
      <c r="E37" s="0" t="s">
        <v>311</v>
      </c>
      <c r="F37" s="1" t="s">
        <v>336</v>
      </c>
      <c r="G37" s="0" t="s">
        <v>337</v>
      </c>
      <c r="H37" s="0" t="n">
        <v>8</v>
      </c>
      <c r="I37" s="0" t="s">
        <v>314</v>
      </c>
      <c r="J37" s="0" t="s">
        <v>315</v>
      </c>
    </row>
    <row r="38" customFormat="false" ht="12.5" hidden="false" customHeight="false" outlineLevel="0" collapsed="false">
      <c r="A38" s="5" t="n">
        <v>46102</v>
      </c>
      <c r="B38" s="0" t="s">
        <v>309</v>
      </c>
      <c r="C38" s="0" t="s">
        <v>320</v>
      </c>
      <c r="D38" s="0" t="s">
        <v>310</v>
      </c>
      <c r="E38" s="0" t="s">
        <v>311</v>
      </c>
      <c r="F38" s="1" t="s">
        <v>331</v>
      </c>
      <c r="G38" s="0" t="s">
        <v>332</v>
      </c>
      <c r="H38" s="0" t="n">
        <v>8</v>
      </c>
      <c r="I38" s="0" t="s">
        <v>314</v>
      </c>
      <c r="J38" s="0" t="s">
        <v>315</v>
      </c>
    </row>
    <row r="39" customFormat="false" ht="12.5" hidden="false" customHeight="false" outlineLevel="0" collapsed="false">
      <c r="A39" s="5" t="n">
        <v>46102</v>
      </c>
      <c r="B39" s="0" t="s">
        <v>321</v>
      </c>
      <c r="C39" s="0" t="s">
        <v>317</v>
      </c>
      <c r="D39" s="0" t="s">
        <v>310</v>
      </c>
      <c r="E39" s="0" t="s">
        <v>311</v>
      </c>
      <c r="F39" s="1" t="s">
        <v>334</v>
      </c>
      <c r="G39" s="0" t="s">
        <v>335</v>
      </c>
      <c r="H39" s="0" t="n">
        <v>8</v>
      </c>
      <c r="I39" s="0" t="s">
        <v>314</v>
      </c>
      <c r="J39" s="0" t="s">
        <v>315</v>
      </c>
    </row>
    <row r="40" customFormat="false" ht="12.5" hidden="false" customHeight="false" outlineLevel="0" collapsed="false">
      <c r="A40" s="5" t="n">
        <v>46102</v>
      </c>
      <c r="B40" s="0" t="s">
        <v>325</v>
      </c>
      <c r="C40" s="0" t="s">
        <v>327</v>
      </c>
      <c r="D40" s="0" t="s">
        <v>310</v>
      </c>
      <c r="E40" s="0" t="s">
        <v>311</v>
      </c>
      <c r="F40" s="1" t="s">
        <v>336</v>
      </c>
      <c r="G40" s="0" t="s">
        <v>338</v>
      </c>
      <c r="H40" s="0" t="n">
        <v>8</v>
      </c>
      <c r="I40" s="0" t="s">
        <v>314</v>
      </c>
      <c r="J40" s="0" t="s">
        <v>315</v>
      </c>
    </row>
    <row r="41" customFormat="false" ht="12.5" hidden="false" customHeight="false" outlineLevel="0" collapsed="false">
      <c r="A41" s="5" t="n">
        <v>46102</v>
      </c>
      <c r="B41" s="0" t="s">
        <v>308</v>
      </c>
      <c r="C41" s="0" t="s">
        <v>324</v>
      </c>
      <c r="D41" s="0" t="s">
        <v>310</v>
      </c>
      <c r="E41" s="0" t="s">
        <v>311</v>
      </c>
      <c r="F41" s="1" t="s">
        <v>312</v>
      </c>
      <c r="G41" s="0" t="s">
        <v>313</v>
      </c>
      <c r="H41" s="0" t="n">
        <v>8</v>
      </c>
      <c r="I41" s="0" t="s">
        <v>314</v>
      </c>
      <c r="J41" s="0" t="s">
        <v>315</v>
      </c>
    </row>
    <row r="42" customFormat="false" ht="12.5" hidden="false" customHeight="false" outlineLevel="0" collapsed="false">
      <c r="A42" s="5" t="n">
        <v>46109</v>
      </c>
      <c r="B42" s="0" t="s">
        <v>316</v>
      </c>
      <c r="C42" s="0" t="s">
        <v>308</v>
      </c>
      <c r="D42" s="0" t="s">
        <v>310</v>
      </c>
      <c r="E42" s="0" t="s">
        <v>311</v>
      </c>
      <c r="F42" s="1" t="s">
        <v>318</v>
      </c>
      <c r="G42" s="0" t="s">
        <v>319</v>
      </c>
      <c r="H42" s="0" t="n">
        <v>9</v>
      </c>
      <c r="I42" s="0" t="s">
        <v>314</v>
      </c>
      <c r="J42" s="0" t="s">
        <v>315</v>
      </c>
    </row>
    <row r="43" customFormat="false" ht="12.5" hidden="false" customHeight="false" outlineLevel="0" collapsed="false">
      <c r="A43" s="5" t="n">
        <v>46109</v>
      </c>
      <c r="B43" s="0" t="s">
        <v>324</v>
      </c>
      <c r="C43" s="0" t="s">
        <v>309</v>
      </c>
      <c r="D43" s="0" t="s">
        <v>310</v>
      </c>
      <c r="E43" s="0" t="s">
        <v>311</v>
      </c>
      <c r="F43" s="1" t="s">
        <v>318</v>
      </c>
      <c r="G43" s="0" t="s">
        <v>326</v>
      </c>
      <c r="H43" s="0" t="n">
        <v>9</v>
      </c>
      <c r="I43" s="0" t="s">
        <v>314</v>
      </c>
      <c r="J43" s="0" t="s">
        <v>315</v>
      </c>
    </row>
    <row r="44" customFormat="false" ht="12.5" hidden="false" customHeight="false" outlineLevel="0" collapsed="false">
      <c r="A44" s="5" t="n">
        <v>46109</v>
      </c>
      <c r="B44" s="0" t="s">
        <v>317</v>
      </c>
      <c r="C44" s="0" t="s">
        <v>328</v>
      </c>
      <c r="D44" s="0" t="s">
        <v>310</v>
      </c>
      <c r="E44" s="0" t="s">
        <v>311</v>
      </c>
      <c r="F44" s="1" t="s">
        <v>318</v>
      </c>
      <c r="G44" s="0" t="s">
        <v>333</v>
      </c>
      <c r="H44" s="0" t="n">
        <v>9</v>
      </c>
      <c r="I44" s="0" t="s">
        <v>314</v>
      </c>
      <c r="J44" s="0" t="s">
        <v>315</v>
      </c>
    </row>
    <row r="45" customFormat="false" ht="12.5" hidden="false" customHeight="false" outlineLevel="0" collapsed="false">
      <c r="A45" s="5" t="n">
        <v>46109</v>
      </c>
      <c r="B45" s="0" t="s">
        <v>320</v>
      </c>
      <c r="C45" s="0" t="s">
        <v>325</v>
      </c>
      <c r="D45" s="0" t="s">
        <v>310</v>
      </c>
      <c r="E45" s="0" t="s">
        <v>311</v>
      </c>
      <c r="F45" s="1" t="s">
        <v>322</v>
      </c>
      <c r="G45" s="0" t="s">
        <v>323</v>
      </c>
      <c r="H45" s="0" t="n">
        <v>9</v>
      </c>
      <c r="I45" s="0" t="s">
        <v>314</v>
      </c>
      <c r="J45" s="0" t="s">
        <v>315</v>
      </c>
    </row>
    <row r="46" customFormat="false" ht="12.5" hidden="false" customHeight="false" outlineLevel="0" collapsed="false">
      <c r="A46" s="5" t="n">
        <v>46110</v>
      </c>
      <c r="B46" s="0" t="s">
        <v>327</v>
      </c>
      <c r="C46" s="0" t="s">
        <v>321</v>
      </c>
      <c r="D46" s="0" t="s">
        <v>310</v>
      </c>
      <c r="E46" s="0" t="s">
        <v>311</v>
      </c>
      <c r="F46" s="1" t="s">
        <v>329</v>
      </c>
      <c r="G46" s="0" t="s">
        <v>330</v>
      </c>
      <c r="H46" s="0" t="n">
        <v>9</v>
      </c>
      <c r="I46" s="0" t="s">
        <v>314</v>
      </c>
      <c r="J46" s="0" t="s">
        <v>315</v>
      </c>
    </row>
    <row r="47" customFormat="false" ht="12.5" hidden="false" customHeight="false" outlineLevel="0" collapsed="false">
      <c r="A47" s="5" t="s">
        <v>339</v>
      </c>
      <c r="B47" s="0" t="s">
        <v>340</v>
      </c>
      <c r="C47" s="0" t="s">
        <v>341</v>
      </c>
      <c r="D47" s="0" t="s">
        <v>310</v>
      </c>
      <c r="E47" s="0" t="s">
        <v>47</v>
      </c>
      <c r="F47" s="1" t="s">
        <v>342</v>
      </c>
      <c r="G47" s="0" t="s">
        <v>343</v>
      </c>
      <c r="H47" s="0" t="n">
        <v>1</v>
      </c>
      <c r="I47" s="0" t="s">
        <v>204</v>
      </c>
      <c r="J47" s="0" t="s">
        <v>290</v>
      </c>
    </row>
    <row r="48" customFormat="false" ht="12.5" hidden="false" customHeight="false" outlineLevel="0" collapsed="false">
      <c r="A48" s="5" t="s">
        <v>339</v>
      </c>
      <c r="B48" s="0" t="s">
        <v>344</v>
      </c>
      <c r="C48" s="0" t="s">
        <v>345</v>
      </c>
      <c r="D48" s="0" t="s">
        <v>310</v>
      </c>
      <c r="E48" s="0" t="s">
        <v>47</v>
      </c>
      <c r="F48" s="1" t="s">
        <v>21</v>
      </c>
      <c r="G48" s="0" t="s">
        <v>346</v>
      </c>
      <c r="H48" s="0" t="n">
        <v>1</v>
      </c>
      <c r="I48" s="0" t="s">
        <v>204</v>
      </c>
      <c r="J48" s="0" t="s">
        <v>290</v>
      </c>
    </row>
    <row r="49" customFormat="false" ht="12.5" hidden="false" customHeight="false" outlineLevel="0" collapsed="false">
      <c r="A49" s="5" t="s">
        <v>339</v>
      </c>
      <c r="B49" s="0" t="s">
        <v>347</v>
      </c>
      <c r="C49" s="0" t="s">
        <v>348</v>
      </c>
      <c r="D49" s="0" t="s">
        <v>310</v>
      </c>
      <c r="E49" s="0" t="s">
        <v>47</v>
      </c>
      <c r="F49" s="1" t="s">
        <v>15</v>
      </c>
      <c r="G49" s="0" t="s">
        <v>349</v>
      </c>
      <c r="H49" s="0" t="n">
        <v>1</v>
      </c>
      <c r="I49" s="0" t="s">
        <v>204</v>
      </c>
      <c r="J49" s="0" t="s">
        <v>290</v>
      </c>
    </row>
    <row r="50" customFormat="false" ht="12.5" hidden="false" customHeight="false" outlineLevel="0" collapsed="false">
      <c r="A50" s="5" t="s">
        <v>339</v>
      </c>
      <c r="B50" s="0" t="s">
        <v>350</v>
      </c>
      <c r="C50" s="0" t="s">
        <v>351</v>
      </c>
      <c r="D50" s="0" t="s">
        <v>310</v>
      </c>
      <c r="E50" s="0" t="s">
        <v>47</v>
      </c>
      <c r="F50" s="1" t="s">
        <v>89</v>
      </c>
      <c r="G50" s="0" t="s">
        <v>352</v>
      </c>
      <c r="H50" s="0" t="n">
        <v>1</v>
      </c>
      <c r="I50" s="0" t="s">
        <v>204</v>
      </c>
      <c r="J50" s="0" t="s">
        <v>290</v>
      </c>
    </row>
    <row r="51" customFormat="false" ht="12.5" hidden="false" customHeight="false" outlineLevel="0" collapsed="false">
      <c r="A51" s="5" t="s">
        <v>339</v>
      </c>
      <c r="B51" s="0" t="s">
        <v>353</v>
      </c>
      <c r="C51" s="0" t="s">
        <v>354</v>
      </c>
      <c r="D51" s="0" t="s">
        <v>310</v>
      </c>
      <c r="E51" s="0" t="s">
        <v>47</v>
      </c>
      <c r="F51" s="1" t="s">
        <v>25</v>
      </c>
      <c r="G51" s="0" t="s">
        <v>355</v>
      </c>
      <c r="H51" s="0" t="n">
        <v>1</v>
      </c>
      <c r="I51" s="0" t="s">
        <v>204</v>
      </c>
      <c r="J51" s="0" t="s">
        <v>290</v>
      </c>
    </row>
    <row r="52" customFormat="false" ht="12.5" hidden="false" customHeight="false" outlineLevel="0" collapsed="false">
      <c r="A52" s="5" t="s">
        <v>10</v>
      </c>
      <c r="B52" s="0" t="s">
        <v>354</v>
      </c>
      <c r="C52" s="0" t="s">
        <v>340</v>
      </c>
      <c r="D52" s="0" t="s">
        <v>310</v>
      </c>
      <c r="E52" s="0" t="s">
        <v>47</v>
      </c>
      <c r="F52" s="1" t="s">
        <v>356</v>
      </c>
      <c r="G52" s="0" t="s">
        <v>357</v>
      </c>
      <c r="H52" s="0" t="n">
        <v>2</v>
      </c>
      <c r="I52" s="0" t="s">
        <v>204</v>
      </c>
      <c r="J52" s="0" t="s">
        <v>290</v>
      </c>
    </row>
    <row r="53" customFormat="false" ht="12.5" hidden="false" customHeight="false" outlineLevel="0" collapsed="false">
      <c r="A53" s="5" t="s">
        <v>10</v>
      </c>
      <c r="B53" s="0" t="s">
        <v>341</v>
      </c>
      <c r="C53" s="0" t="s">
        <v>350</v>
      </c>
      <c r="D53" s="0" t="s">
        <v>310</v>
      </c>
      <c r="E53" s="0" t="s">
        <v>47</v>
      </c>
      <c r="F53" s="1" t="s">
        <v>31</v>
      </c>
      <c r="G53" s="0" t="s">
        <v>358</v>
      </c>
      <c r="H53" s="0" t="n">
        <v>2</v>
      </c>
      <c r="I53" s="0" t="s">
        <v>204</v>
      </c>
      <c r="J53" s="0" t="s">
        <v>290</v>
      </c>
    </row>
    <row r="54" customFormat="false" ht="12.5" hidden="false" customHeight="false" outlineLevel="0" collapsed="false">
      <c r="A54" s="5" t="s">
        <v>10</v>
      </c>
      <c r="B54" s="0" t="s">
        <v>345</v>
      </c>
      <c r="C54" s="0" t="s">
        <v>353</v>
      </c>
      <c r="D54" s="0" t="s">
        <v>310</v>
      </c>
      <c r="E54" s="0" t="s">
        <v>47</v>
      </c>
      <c r="F54" s="1" t="s">
        <v>31</v>
      </c>
      <c r="G54" s="0" t="s">
        <v>359</v>
      </c>
      <c r="H54" s="0" t="n">
        <v>2</v>
      </c>
      <c r="I54" s="0" t="s">
        <v>204</v>
      </c>
      <c r="J54" s="0" t="s">
        <v>290</v>
      </c>
    </row>
    <row r="55" customFormat="false" ht="12.5" hidden="false" customHeight="false" outlineLevel="0" collapsed="false">
      <c r="A55" s="5" t="s">
        <v>10</v>
      </c>
      <c r="B55" s="0" t="s">
        <v>348</v>
      </c>
      <c r="C55" s="0" t="s">
        <v>344</v>
      </c>
      <c r="D55" s="0" t="s">
        <v>310</v>
      </c>
      <c r="E55" s="0" t="s">
        <v>47</v>
      </c>
      <c r="F55" s="1" t="s">
        <v>21</v>
      </c>
      <c r="G55" s="0" t="s">
        <v>360</v>
      </c>
      <c r="H55" s="0" t="n">
        <v>2</v>
      </c>
      <c r="I55" s="0" t="s">
        <v>204</v>
      </c>
      <c r="J55" s="0" t="s">
        <v>290</v>
      </c>
    </row>
    <row r="56" customFormat="false" ht="12.5" hidden="false" customHeight="false" outlineLevel="0" collapsed="false">
      <c r="A56" s="5" t="s">
        <v>10</v>
      </c>
      <c r="B56" s="0" t="s">
        <v>351</v>
      </c>
      <c r="C56" s="0" t="s">
        <v>347</v>
      </c>
      <c r="D56" s="0" t="s">
        <v>310</v>
      </c>
      <c r="E56" s="0" t="s">
        <v>47</v>
      </c>
      <c r="F56" s="1" t="s">
        <v>31</v>
      </c>
      <c r="G56" s="0" t="s">
        <v>361</v>
      </c>
      <c r="H56" s="0" t="n">
        <v>2</v>
      </c>
      <c r="I56" s="0" t="s">
        <v>204</v>
      </c>
      <c r="J56" s="0" t="s">
        <v>290</v>
      </c>
    </row>
    <row r="57" customFormat="false" ht="12.5" hidden="false" customHeight="false" outlineLevel="0" collapsed="false">
      <c r="A57" s="5" t="s">
        <v>32</v>
      </c>
      <c r="B57" s="0" t="s">
        <v>347</v>
      </c>
      <c r="C57" s="0" t="s">
        <v>341</v>
      </c>
      <c r="D57" s="0" t="s">
        <v>310</v>
      </c>
      <c r="E57" s="0" t="s">
        <v>47</v>
      </c>
      <c r="F57" s="1" t="s">
        <v>15</v>
      </c>
      <c r="G57" s="0" t="s">
        <v>349</v>
      </c>
      <c r="H57" s="0" t="n">
        <v>3</v>
      </c>
      <c r="I57" s="0" t="s">
        <v>204</v>
      </c>
      <c r="J57" s="0" t="s">
        <v>290</v>
      </c>
    </row>
    <row r="58" customFormat="false" ht="12.5" hidden="false" customHeight="false" outlineLevel="0" collapsed="false">
      <c r="A58" s="5" t="s">
        <v>32</v>
      </c>
      <c r="B58" s="0" t="s">
        <v>340</v>
      </c>
      <c r="C58" s="0" t="s">
        <v>353</v>
      </c>
      <c r="D58" s="0" t="s">
        <v>310</v>
      </c>
      <c r="E58" s="0" t="s">
        <v>47</v>
      </c>
      <c r="F58" s="1" t="s">
        <v>342</v>
      </c>
      <c r="G58" s="0" t="s">
        <v>343</v>
      </c>
      <c r="H58" s="0" t="n">
        <v>3</v>
      </c>
      <c r="I58" s="0" t="s">
        <v>204</v>
      </c>
      <c r="J58" s="0" t="s">
        <v>290</v>
      </c>
    </row>
    <row r="59" customFormat="false" ht="12.5" hidden="false" customHeight="false" outlineLevel="0" collapsed="false">
      <c r="A59" s="5" t="s">
        <v>32</v>
      </c>
      <c r="B59" s="0" t="s">
        <v>345</v>
      </c>
      <c r="C59" s="0" t="s">
        <v>348</v>
      </c>
      <c r="D59" s="0" t="s">
        <v>310</v>
      </c>
      <c r="E59" s="0" t="s">
        <v>47</v>
      </c>
      <c r="F59" s="1" t="s">
        <v>31</v>
      </c>
      <c r="G59" s="0" t="s">
        <v>359</v>
      </c>
      <c r="H59" s="0" t="n">
        <v>3</v>
      </c>
      <c r="I59" s="0" t="s">
        <v>204</v>
      </c>
      <c r="J59" s="0" t="s">
        <v>290</v>
      </c>
    </row>
    <row r="60" customFormat="false" ht="12.5" hidden="false" customHeight="false" outlineLevel="0" collapsed="false">
      <c r="A60" s="5" t="s">
        <v>32</v>
      </c>
      <c r="B60" s="0" t="s">
        <v>344</v>
      </c>
      <c r="C60" s="0" t="s">
        <v>351</v>
      </c>
      <c r="D60" s="0" t="s">
        <v>310</v>
      </c>
      <c r="E60" s="0" t="s">
        <v>47</v>
      </c>
      <c r="F60" s="1" t="s">
        <v>21</v>
      </c>
      <c r="G60" s="0" t="s">
        <v>346</v>
      </c>
      <c r="H60" s="0" t="n">
        <v>3</v>
      </c>
      <c r="I60" s="0" t="s">
        <v>204</v>
      </c>
      <c r="J60" s="0" t="s">
        <v>290</v>
      </c>
    </row>
    <row r="61" customFormat="false" ht="12.5" hidden="false" customHeight="false" outlineLevel="0" collapsed="false">
      <c r="A61" s="5" t="s">
        <v>32</v>
      </c>
      <c r="B61" s="0" t="s">
        <v>350</v>
      </c>
      <c r="C61" s="0" t="s">
        <v>354</v>
      </c>
      <c r="D61" s="0" t="s">
        <v>310</v>
      </c>
      <c r="E61" s="0" t="s">
        <v>47</v>
      </c>
      <c r="F61" s="1" t="s">
        <v>89</v>
      </c>
      <c r="G61" s="0" t="s">
        <v>352</v>
      </c>
      <c r="H61" s="0" t="n">
        <v>3</v>
      </c>
      <c r="I61" s="0" t="s">
        <v>204</v>
      </c>
      <c r="J61" s="0" t="s">
        <v>290</v>
      </c>
    </row>
    <row r="62" customFormat="false" ht="12.5" hidden="false" customHeight="false" outlineLevel="0" collapsed="false">
      <c r="A62" s="5" t="s">
        <v>38</v>
      </c>
      <c r="B62" s="0" t="s">
        <v>351</v>
      </c>
      <c r="C62" s="0" t="s">
        <v>345</v>
      </c>
      <c r="D62" s="0" t="s">
        <v>310</v>
      </c>
      <c r="E62" s="0" t="s">
        <v>47</v>
      </c>
      <c r="F62" s="1" t="s">
        <v>31</v>
      </c>
      <c r="G62" s="0" t="s">
        <v>361</v>
      </c>
      <c r="H62" s="0" t="n">
        <v>4</v>
      </c>
      <c r="I62" s="0" t="s">
        <v>204</v>
      </c>
      <c r="J62" s="0" t="s">
        <v>290</v>
      </c>
    </row>
    <row r="63" customFormat="false" ht="12.5" hidden="false" customHeight="false" outlineLevel="0" collapsed="false">
      <c r="A63" s="5" t="s">
        <v>38</v>
      </c>
      <c r="B63" s="0" t="s">
        <v>340</v>
      </c>
      <c r="C63" s="0" t="s">
        <v>350</v>
      </c>
      <c r="D63" s="0" t="s">
        <v>310</v>
      </c>
      <c r="E63" s="0" t="s">
        <v>47</v>
      </c>
      <c r="F63" s="1" t="s">
        <v>342</v>
      </c>
      <c r="G63" s="0" t="s">
        <v>343</v>
      </c>
      <c r="H63" s="0" t="n">
        <v>4</v>
      </c>
      <c r="I63" s="0" t="s">
        <v>204</v>
      </c>
      <c r="J63" s="0" t="s">
        <v>290</v>
      </c>
    </row>
    <row r="64" customFormat="false" ht="12.5" hidden="false" customHeight="false" outlineLevel="0" collapsed="false">
      <c r="A64" s="5" t="s">
        <v>38</v>
      </c>
      <c r="B64" s="0" t="s">
        <v>341</v>
      </c>
      <c r="C64" s="0" t="s">
        <v>344</v>
      </c>
      <c r="D64" s="0" t="s">
        <v>310</v>
      </c>
      <c r="E64" s="0" t="s">
        <v>47</v>
      </c>
      <c r="F64" s="1" t="s">
        <v>31</v>
      </c>
      <c r="G64" s="0" t="s">
        <v>358</v>
      </c>
      <c r="H64" s="0" t="n">
        <v>4</v>
      </c>
      <c r="I64" s="0" t="s">
        <v>204</v>
      </c>
      <c r="J64" s="0" t="s">
        <v>290</v>
      </c>
    </row>
    <row r="65" customFormat="false" ht="12.5" hidden="false" customHeight="false" outlineLevel="0" collapsed="false">
      <c r="A65" s="5" t="s">
        <v>38</v>
      </c>
      <c r="B65" s="0" t="s">
        <v>354</v>
      </c>
      <c r="C65" s="0" t="s">
        <v>347</v>
      </c>
      <c r="D65" s="0" t="s">
        <v>310</v>
      </c>
      <c r="E65" s="0" t="s">
        <v>47</v>
      </c>
      <c r="F65" s="1" t="s">
        <v>356</v>
      </c>
      <c r="G65" s="0" t="s">
        <v>357</v>
      </c>
      <c r="H65" s="0" t="n">
        <v>4</v>
      </c>
      <c r="I65" s="0" t="s">
        <v>204</v>
      </c>
      <c r="J65" s="0" t="s">
        <v>290</v>
      </c>
    </row>
    <row r="66" customFormat="false" ht="12.5" hidden="false" customHeight="false" outlineLevel="0" collapsed="false">
      <c r="A66" s="5" t="s">
        <v>38</v>
      </c>
      <c r="B66" s="0" t="s">
        <v>353</v>
      </c>
      <c r="C66" s="0" t="s">
        <v>348</v>
      </c>
      <c r="D66" s="0" t="s">
        <v>310</v>
      </c>
      <c r="E66" s="0" t="s">
        <v>47</v>
      </c>
      <c r="F66" s="1" t="s">
        <v>25</v>
      </c>
      <c r="G66" s="0" t="s">
        <v>355</v>
      </c>
      <c r="H66" s="0" t="n">
        <v>4</v>
      </c>
      <c r="I66" s="0" t="s">
        <v>204</v>
      </c>
      <c r="J66" s="0" t="s">
        <v>290</v>
      </c>
    </row>
    <row r="67" customFormat="false" ht="12.5" hidden="false" customHeight="false" outlineLevel="0" collapsed="false">
      <c r="A67" s="5" t="s">
        <v>39</v>
      </c>
      <c r="B67" s="0" t="s">
        <v>345</v>
      </c>
      <c r="C67" s="0" t="s">
        <v>341</v>
      </c>
      <c r="D67" s="0" t="s">
        <v>310</v>
      </c>
      <c r="E67" s="0" t="s">
        <v>47</v>
      </c>
      <c r="F67" s="1" t="s">
        <v>31</v>
      </c>
      <c r="G67" s="0" t="s">
        <v>359</v>
      </c>
      <c r="H67" s="0" t="n">
        <v>5</v>
      </c>
      <c r="I67" s="0" t="s">
        <v>204</v>
      </c>
      <c r="J67" s="0" t="s">
        <v>290</v>
      </c>
    </row>
    <row r="68" customFormat="false" ht="12.5" hidden="false" customHeight="false" outlineLevel="0" collapsed="false">
      <c r="A68" s="5" t="s">
        <v>39</v>
      </c>
      <c r="B68" s="0" t="s">
        <v>347</v>
      </c>
      <c r="C68" s="0" t="s">
        <v>340</v>
      </c>
      <c r="D68" s="0" t="s">
        <v>310</v>
      </c>
      <c r="E68" s="0" t="s">
        <v>47</v>
      </c>
      <c r="F68" s="1" t="s">
        <v>15</v>
      </c>
      <c r="G68" s="0" t="s">
        <v>349</v>
      </c>
      <c r="H68" s="0" t="n">
        <v>5</v>
      </c>
      <c r="I68" s="0" t="s">
        <v>204</v>
      </c>
      <c r="J68" s="0" t="s">
        <v>290</v>
      </c>
    </row>
    <row r="69" customFormat="false" ht="12.5" hidden="false" customHeight="false" outlineLevel="0" collapsed="false">
      <c r="A69" s="5" t="s">
        <v>39</v>
      </c>
      <c r="B69" s="0" t="s">
        <v>350</v>
      </c>
      <c r="C69" s="0" t="s">
        <v>353</v>
      </c>
      <c r="D69" s="0" t="s">
        <v>310</v>
      </c>
      <c r="E69" s="0" t="s">
        <v>47</v>
      </c>
      <c r="F69" s="1" t="s">
        <v>89</v>
      </c>
      <c r="G69" s="0" t="s">
        <v>352</v>
      </c>
      <c r="H69" s="0" t="n">
        <v>5</v>
      </c>
      <c r="I69" s="0" t="s">
        <v>204</v>
      </c>
      <c r="J69" s="0" t="s">
        <v>290</v>
      </c>
    </row>
    <row r="70" customFormat="false" ht="12.5" hidden="false" customHeight="false" outlineLevel="0" collapsed="false">
      <c r="A70" s="5" t="s">
        <v>39</v>
      </c>
      <c r="B70" s="0" t="s">
        <v>348</v>
      </c>
      <c r="C70" s="0" t="s">
        <v>351</v>
      </c>
      <c r="D70" s="0" t="s">
        <v>310</v>
      </c>
      <c r="E70" s="0" t="s">
        <v>47</v>
      </c>
      <c r="F70" s="1" t="s">
        <v>21</v>
      </c>
      <c r="G70" s="0" t="s">
        <v>360</v>
      </c>
      <c r="H70" s="0" t="n">
        <v>5</v>
      </c>
      <c r="I70" s="0" t="s">
        <v>204</v>
      </c>
      <c r="J70" s="0" t="s">
        <v>290</v>
      </c>
    </row>
    <row r="71" customFormat="false" ht="12.5" hidden="false" customHeight="false" outlineLevel="0" collapsed="false">
      <c r="A71" s="5" t="s">
        <v>39</v>
      </c>
      <c r="B71" s="0" t="s">
        <v>344</v>
      </c>
      <c r="C71" s="0" t="s">
        <v>354</v>
      </c>
      <c r="D71" s="0" t="s">
        <v>310</v>
      </c>
      <c r="E71" s="0" t="s">
        <v>47</v>
      </c>
      <c r="F71" s="1" t="s">
        <v>21</v>
      </c>
      <c r="G71" s="0" t="s">
        <v>346</v>
      </c>
      <c r="H71" s="0" t="n">
        <v>5</v>
      </c>
      <c r="I71" s="0" t="s">
        <v>204</v>
      </c>
      <c r="J71" s="0" t="s">
        <v>290</v>
      </c>
    </row>
    <row r="72" customFormat="false" ht="12.5" hidden="false" customHeight="false" outlineLevel="0" collapsed="false">
      <c r="A72" s="5" t="s">
        <v>40</v>
      </c>
      <c r="B72" s="0" t="s">
        <v>354</v>
      </c>
      <c r="C72" s="0" t="s">
        <v>345</v>
      </c>
      <c r="D72" s="0" t="s">
        <v>310</v>
      </c>
      <c r="E72" s="0" t="s">
        <v>47</v>
      </c>
      <c r="F72" s="1" t="s">
        <v>356</v>
      </c>
      <c r="G72" s="0" t="s">
        <v>357</v>
      </c>
      <c r="H72" s="0" t="n">
        <v>6</v>
      </c>
      <c r="I72" s="0" t="s">
        <v>204</v>
      </c>
      <c r="J72" s="0" t="s">
        <v>290</v>
      </c>
    </row>
    <row r="73" customFormat="false" ht="12.5" hidden="false" customHeight="false" outlineLevel="0" collapsed="false">
      <c r="A73" s="5" t="s">
        <v>40</v>
      </c>
      <c r="B73" s="0" t="s">
        <v>340</v>
      </c>
      <c r="C73" s="0" t="s">
        <v>344</v>
      </c>
      <c r="D73" s="0" t="s">
        <v>310</v>
      </c>
      <c r="E73" s="0" t="s">
        <v>47</v>
      </c>
      <c r="F73" s="1" t="s">
        <v>342</v>
      </c>
      <c r="G73" s="0" t="s">
        <v>343</v>
      </c>
      <c r="H73" s="0" t="n">
        <v>6</v>
      </c>
      <c r="I73" s="0" t="s">
        <v>204</v>
      </c>
      <c r="J73" s="0" t="s">
        <v>290</v>
      </c>
    </row>
    <row r="74" customFormat="false" ht="12.5" hidden="false" customHeight="false" outlineLevel="0" collapsed="false">
      <c r="A74" s="5" t="s">
        <v>40</v>
      </c>
      <c r="B74" s="0" t="s">
        <v>350</v>
      </c>
      <c r="C74" s="0" t="s">
        <v>347</v>
      </c>
      <c r="D74" s="0" t="s">
        <v>310</v>
      </c>
      <c r="E74" s="0" t="s">
        <v>47</v>
      </c>
      <c r="F74" s="1" t="s">
        <v>89</v>
      </c>
      <c r="G74" s="0" t="s">
        <v>352</v>
      </c>
      <c r="H74" s="0" t="n">
        <v>6</v>
      </c>
      <c r="I74" s="0" t="s">
        <v>204</v>
      </c>
      <c r="J74" s="0" t="s">
        <v>290</v>
      </c>
    </row>
    <row r="75" customFormat="false" ht="12.5" hidden="false" customHeight="false" outlineLevel="0" collapsed="false">
      <c r="A75" s="5" t="s">
        <v>40</v>
      </c>
      <c r="B75" s="0" t="s">
        <v>341</v>
      </c>
      <c r="C75" s="0" t="s">
        <v>348</v>
      </c>
      <c r="D75" s="0" t="s">
        <v>310</v>
      </c>
      <c r="E75" s="0" t="s">
        <v>47</v>
      </c>
      <c r="F75" s="1" t="s">
        <v>31</v>
      </c>
      <c r="G75" s="0" t="s">
        <v>358</v>
      </c>
      <c r="H75" s="0" t="n">
        <v>6</v>
      </c>
      <c r="I75" s="0" t="s">
        <v>204</v>
      </c>
      <c r="J75" s="0" t="s">
        <v>290</v>
      </c>
    </row>
    <row r="76" customFormat="false" ht="12.5" hidden="false" customHeight="false" outlineLevel="0" collapsed="false">
      <c r="A76" s="5" t="s">
        <v>40</v>
      </c>
      <c r="B76" s="0" t="s">
        <v>353</v>
      </c>
      <c r="C76" s="0" t="s">
        <v>351</v>
      </c>
      <c r="D76" s="0" t="s">
        <v>310</v>
      </c>
      <c r="E76" s="0" t="s">
        <v>47</v>
      </c>
      <c r="F76" s="1" t="s">
        <v>25</v>
      </c>
      <c r="G76" s="0" t="s">
        <v>355</v>
      </c>
      <c r="H76" s="0" t="n">
        <v>6</v>
      </c>
      <c r="I76" s="0" t="s">
        <v>204</v>
      </c>
      <c r="J76" s="0" t="s">
        <v>290</v>
      </c>
    </row>
    <row r="77" customFormat="false" ht="12.5" hidden="false" customHeight="false" outlineLevel="0" collapsed="false">
      <c r="A77" s="5" t="s">
        <v>41</v>
      </c>
      <c r="B77" s="0" t="s">
        <v>351</v>
      </c>
      <c r="C77" s="0" t="s">
        <v>341</v>
      </c>
      <c r="D77" s="0" t="s">
        <v>310</v>
      </c>
      <c r="E77" s="0" t="s">
        <v>47</v>
      </c>
      <c r="F77" s="1" t="s">
        <v>31</v>
      </c>
      <c r="G77" s="0" t="s">
        <v>361</v>
      </c>
      <c r="H77" s="0" t="n">
        <v>7</v>
      </c>
      <c r="I77" s="0" t="s">
        <v>204</v>
      </c>
      <c r="J77" s="0" t="s">
        <v>290</v>
      </c>
    </row>
    <row r="78" customFormat="false" ht="12.5" hidden="false" customHeight="false" outlineLevel="0" collapsed="false">
      <c r="A78" s="5" t="s">
        <v>41</v>
      </c>
      <c r="B78" s="0" t="s">
        <v>345</v>
      </c>
      <c r="C78" s="0" t="s">
        <v>340</v>
      </c>
      <c r="D78" s="0" t="s">
        <v>310</v>
      </c>
      <c r="E78" s="0" t="s">
        <v>47</v>
      </c>
      <c r="F78" s="1" t="s">
        <v>31</v>
      </c>
      <c r="G78" s="0" t="s">
        <v>359</v>
      </c>
      <c r="H78" s="0" t="n">
        <v>7</v>
      </c>
      <c r="I78" s="0" t="s">
        <v>204</v>
      </c>
      <c r="J78" s="0" t="s">
        <v>290</v>
      </c>
    </row>
    <row r="79" customFormat="false" ht="12.5" hidden="false" customHeight="false" outlineLevel="0" collapsed="false">
      <c r="A79" s="5" t="s">
        <v>41</v>
      </c>
      <c r="B79" s="0" t="s">
        <v>344</v>
      </c>
      <c r="C79" s="0" t="s">
        <v>350</v>
      </c>
      <c r="D79" s="0" t="s">
        <v>310</v>
      </c>
      <c r="E79" s="0" t="s">
        <v>47</v>
      </c>
      <c r="F79" s="1" t="s">
        <v>21</v>
      </c>
      <c r="G79" s="0" t="s">
        <v>346</v>
      </c>
      <c r="H79" s="0" t="n">
        <v>7</v>
      </c>
      <c r="I79" s="0" t="s">
        <v>204</v>
      </c>
      <c r="J79" s="0" t="s">
        <v>290</v>
      </c>
    </row>
    <row r="80" customFormat="false" ht="12.5" hidden="false" customHeight="false" outlineLevel="0" collapsed="false">
      <c r="A80" s="5" t="s">
        <v>41</v>
      </c>
      <c r="B80" s="0" t="s">
        <v>347</v>
      </c>
      <c r="C80" s="0" t="s">
        <v>353</v>
      </c>
      <c r="D80" s="0" t="s">
        <v>310</v>
      </c>
      <c r="E80" s="0" t="s">
        <v>47</v>
      </c>
      <c r="F80" s="1" t="s">
        <v>15</v>
      </c>
      <c r="G80" s="0" t="s">
        <v>349</v>
      </c>
      <c r="H80" s="0" t="n">
        <v>7</v>
      </c>
      <c r="I80" s="0" t="s">
        <v>204</v>
      </c>
      <c r="J80" s="0" t="s">
        <v>290</v>
      </c>
    </row>
    <row r="81" customFormat="false" ht="12.5" hidden="false" customHeight="false" outlineLevel="0" collapsed="false">
      <c r="A81" s="5" t="s">
        <v>41</v>
      </c>
      <c r="B81" s="0" t="s">
        <v>348</v>
      </c>
      <c r="C81" s="0" t="s">
        <v>354</v>
      </c>
      <c r="D81" s="0" t="s">
        <v>310</v>
      </c>
      <c r="E81" s="0" t="s">
        <v>47</v>
      </c>
      <c r="F81" s="1" t="s">
        <v>21</v>
      </c>
      <c r="G81" s="0" t="s">
        <v>360</v>
      </c>
      <c r="H81" s="0" t="n">
        <v>7</v>
      </c>
      <c r="I81" s="0" t="s">
        <v>204</v>
      </c>
      <c r="J81" s="0" t="s">
        <v>290</v>
      </c>
    </row>
    <row r="82" customFormat="false" ht="12.5" hidden="false" customHeight="false" outlineLevel="0" collapsed="false">
      <c r="A82" s="5" t="s">
        <v>42</v>
      </c>
      <c r="B82" s="0" t="s">
        <v>353</v>
      </c>
      <c r="C82" s="0" t="s">
        <v>341</v>
      </c>
      <c r="D82" s="0" t="s">
        <v>310</v>
      </c>
      <c r="E82" s="0" t="s">
        <v>47</v>
      </c>
      <c r="F82" s="1" t="s">
        <v>25</v>
      </c>
      <c r="G82" s="0" t="s">
        <v>355</v>
      </c>
      <c r="H82" s="0" t="n">
        <v>8</v>
      </c>
      <c r="I82" s="0" t="s">
        <v>204</v>
      </c>
      <c r="J82" s="0" t="s">
        <v>290</v>
      </c>
    </row>
    <row r="83" customFormat="false" ht="12.5" hidden="false" customHeight="false" outlineLevel="0" collapsed="false">
      <c r="A83" s="5" t="s">
        <v>42</v>
      </c>
      <c r="B83" s="0" t="s">
        <v>350</v>
      </c>
      <c r="C83" s="0" t="s">
        <v>345</v>
      </c>
      <c r="D83" s="0" t="s">
        <v>310</v>
      </c>
      <c r="E83" s="0" t="s">
        <v>47</v>
      </c>
      <c r="F83" s="1" t="s">
        <v>89</v>
      </c>
      <c r="G83" s="0" t="s">
        <v>352</v>
      </c>
      <c r="H83" s="0" t="n">
        <v>8</v>
      </c>
      <c r="I83" s="0" t="s">
        <v>204</v>
      </c>
      <c r="J83" s="0" t="s">
        <v>290</v>
      </c>
    </row>
    <row r="84" customFormat="false" ht="12.5" hidden="false" customHeight="false" outlineLevel="0" collapsed="false">
      <c r="A84" s="5" t="s">
        <v>42</v>
      </c>
      <c r="B84" s="0" t="s">
        <v>347</v>
      </c>
      <c r="C84" s="0" t="s">
        <v>344</v>
      </c>
      <c r="D84" s="0" t="s">
        <v>310</v>
      </c>
      <c r="E84" s="0" t="s">
        <v>47</v>
      </c>
      <c r="F84" s="1" t="s">
        <v>15</v>
      </c>
      <c r="G84" s="0" t="s">
        <v>349</v>
      </c>
      <c r="H84" s="0" t="n">
        <v>8</v>
      </c>
      <c r="I84" s="0" t="s">
        <v>204</v>
      </c>
      <c r="J84" s="0" t="s">
        <v>290</v>
      </c>
    </row>
    <row r="85" customFormat="false" ht="12.5" hidden="false" customHeight="false" outlineLevel="0" collapsed="false">
      <c r="A85" s="5" t="s">
        <v>42</v>
      </c>
      <c r="B85" s="0" t="s">
        <v>340</v>
      </c>
      <c r="C85" s="0" t="s">
        <v>348</v>
      </c>
      <c r="D85" s="0" t="s">
        <v>310</v>
      </c>
      <c r="E85" s="0" t="s">
        <v>47</v>
      </c>
      <c r="F85" s="1" t="s">
        <v>342</v>
      </c>
      <c r="G85" s="0" t="s">
        <v>343</v>
      </c>
      <c r="H85" s="0" t="n">
        <v>8</v>
      </c>
      <c r="I85" s="0" t="s">
        <v>204</v>
      </c>
      <c r="J85" s="0" t="s">
        <v>290</v>
      </c>
    </row>
    <row r="86" customFormat="false" ht="12.5" hidden="false" customHeight="false" outlineLevel="0" collapsed="false">
      <c r="A86" s="5" t="s">
        <v>42</v>
      </c>
      <c r="B86" s="0" t="s">
        <v>354</v>
      </c>
      <c r="C86" s="0" t="s">
        <v>351</v>
      </c>
      <c r="D86" s="0" t="s">
        <v>310</v>
      </c>
      <c r="E86" s="0" t="s">
        <v>47</v>
      </c>
      <c r="F86" s="1" t="s">
        <v>356</v>
      </c>
      <c r="G86" s="0" t="s">
        <v>357</v>
      </c>
      <c r="H86" s="0" t="n">
        <v>8</v>
      </c>
      <c r="I86" s="0" t="s">
        <v>204</v>
      </c>
      <c r="J86" s="0" t="s">
        <v>290</v>
      </c>
    </row>
    <row r="87" customFormat="false" ht="12.5" hidden="false" customHeight="false" outlineLevel="0" collapsed="false">
      <c r="A87" s="5" t="s">
        <v>43</v>
      </c>
      <c r="B87" s="0" t="s">
        <v>351</v>
      </c>
      <c r="C87" s="0" t="s">
        <v>340</v>
      </c>
      <c r="D87" s="0" t="s">
        <v>310</v>
      </c>
      <c r="E87" s="0" t="s">
        <v>47</v>
      </c>
      <c r="F87" s="1" t="s">
        <v>31</v>
      </c>
      <c r="G87" s="0" t="s">
        <v>361</v>
      </c>
      <c r="H87" s="0" t="n">
        <v>9</v>
      </c>
      <c r="I87" s="0" t="s">
        <v>204</v>
      </c>
      <c r="J87" s="0" t="s">
        <v>290</v>
      </c>
    </row>
    <row r="88" customFormat="false" ht="12.5" hidden="false" customHeight="false" outlineLevel="0" collapsed="false">
      <c r="A88" s="5" t="s">
        <v>43</v>
      </c>
      <c r="B88" s="0" t="s">
        <v>348</v>
      </c>
      <c r="C88" s="0" t="s">
        <v>350</v>
      </c>
      <c r="D88" s="0" t="s">
        <v>310</v>
      </c>
      <c r="E88" s="0" t="s">
        <v>47</v>
      </c>
      <c r="F88" s="1" t="s">
        <v>21</v>
      </c>
      <c r="G88" s="0" t="s">
        <v>360</v>
      </c>
      <c r="H88" s="0" t="n">
        <v>9</v>
      </c>
      <c r="I88" s="0" t="s">
        <v>204</v>
      </c>
      <c r="J88" s="0" t="s">
        <v>290</v>
      </c>
    </row>
    <row r="89" customFormat="false" ht="12.5" hidden="false" customHeight="false" outlineLevel="0" collapsed="false">
      <c r="A89" s="5" t="s">
        <v>43</v>
      </c>
      <c r="B89" s="0" t="s">
        <v>344</v>
      </c>
      <c r="C89" s="0" t="s">
        <v>353</v>
      </c>
      <c r="D89" s="0" t="s">
        <v>310</v>
      </c>
      <c r="E89" s="0" t="s">
        <v>47</v>
      </c>
      <c r="F89" s="1" t="s">
        <v>21</v>
      </c>
      <c r="G89" s="0" t="s">
        <v>346</v>
      </c>
      <c r="H89" s="0" t="n">
        <v>9</v>
      </c>
      <c r="I89" s="0" t="s">
        <v>204</v>
      </c>
      <c r="J89" s="0" t="s">
        <v>290</v>
      </c>
    </row>
    <row r="90" customFormat="false" ht="12.5" hidden="false" customHeight="false" outlineLevel="0" collapsed="false">
      <c r="A90" s="5" t="s">
        <v>43</v>
      </c>
      <c r="B90" s="0" t="s">
        <v>345</v>
      </c>
      <c r="C90" s="0" t="s">
        <v>347</v>
      </c>
      <c r="D90" s="0" t="s">
        <v>310</v>
      </c>
      <c r="E90" s="0" t="s">
        <v>47</v>
      </c>
      <c r="F90" s="1" t="s">
        <v>31</v>
      </c>
      <c r="G90" s="0" t="s">
        <v>359</v>
      </c>
      <c r="H90" s="0" t="n">
        <v>9</v>
      </c>
      <c r="I90" s="0" t="s">
        <v>204</v>
      </c>
      <c r="J90" s="0" t="s">
        <v>290</v>
      </c>
    </row>
    <row r="91" customFormat="false" ht="12.5" hidden="false" customHeight="false" outlineLevel="0" collapsed="false">
      <c r="A91" s="5" t="s">
        <v>43</v>
      </c>
      <c r="B91" s="0" t="s">
        <v>341</v>
      </c>
      <c r="C91" s="0" t="s">
        <v>354</v>
      </c>
      <c r="D91" s="0" t="s">
        <v>310</v>
      </c>
      <c r="E91" s="0" t="s">
        <v>47</v>
      </c>
      <c r="F91" s="1" t="s">
        <v>31</v>
      </c>
      <c r="G91" s="0" t="s">
        <v>358</v>
      </c>
      <c r="H91" s="0" t="n">
        <v>9</v>
      </c>
      <c r="I91" s="0" t="s">
        <v>204</v>
      </c>
      <c r="J91" s="0" t="s">
        <v>290</v>
      </c>
    </row>
    <row r="92" customFormat="false" ht="12.5" hidden="false" customHeight="false" outlineLevel="0" collapsed="false">
      <c r="A92" s="5" t="s">
        <v>339</v>
      </c>
      <c r="B92" s="0" t="s">
        <v>362</v>
      </c>
      <c r="C92" s="0" t="s">
        <v>363</v>
      </c>
      <c r="D92" s="0" t="s">
        <v>310</v>
      </c>
      <c r="E92" s="0" t="s">
        <v>364</v>
      </c>
      <c r="F92" s="1" t="s">
        <v>365</v>
      </c>
      <c r="G92" s="0" t="s">
        <v>366</v>
      </c>
      <c r="H92" s="0" t="n">
        <v>1</v>
      </c>
      <c r="I92" s="0" t="s">
        <v>204</v>
      </c>
      <c r="J92" s="0" t="s">
        <v>290</v>
      </c>
    </row>
    <row r="93" customFormat="false" ht="12.5" hidden="false" customHeight="false" outlineLevel="0" collapsed="false">
      <c r="A93" s="5" t="s">
        <v>339</v>
      </c>
      <c r="B93" s="0" t="s">
        <v>367</v>
      </c>
      <c r="C93" s="0" t="s">
        <v>368</v>
      </c>
      <c r="D93" s="0" t="s">
        <v>310</v>
      </c>
      <c r="E93" s="0" t="s">
        <v>364</v>
      </c>
      <c r="F93" s="1" t="s">
        <v>369</v>
      </c>
      <c r="G93" s="0" t="s">
        <v>370</v>
      </c>
      <c r="H93" s="0" t="n">
        <v>1</v>
      </c>
      <c r="I93" s="0" t="s">
        <v>204</v>
      </c>
      <c r="J93" s="0" t="s">
        <v>290</v>
      </c>
    </row>
    <row r="94" customFormat="false" ht="12.5" hidden="false" customHeight="false" outlineLevel="0" collapsed="false">
      <c r="A94" s="5" t="n">
        <v>46053</v>
      </c>
      <c r="B94" s="0" t="s">
        <v>371</v>
      </c>
      <c r="C94" s="0" t="s">
        <v>372</v>
      </c>
      <c r="D94" s="0" t="s">
        <v>310</v>
      </c>
      <c r="E94" s="0" t="s">
        <v>364</v>
      </c>
      <c r="F94" s="1" t="s">
        <v>21</v>
      </c>
      <c r="G94" s="0" t="s">
        <v>373</v>
      </c>
      <c r="H94" s="0" t="n">
        <v>1</v>
      </c>
      <c r="I94" s="0" t="s">
        <v>204</v>
      </c>
      <c r="J94" s="0" t="s">
        <v>290</v>
      </c>
    </row>
    <row r="95" customFormat="false" ht="12.5" hidden="false" customHeight="false" outlineLevel="0" collapsed="false">
      <c r="A95" s="5" t="n">
        <v>46053</v>
      </c>
      <c r="B95" s="0" t="s">
        <v>374</v>
      </c>
      <c r="C95" s="0" t="s">
        <v>375</v>
      </c>
      <c r="D95" s="0" t="s">
        <v>310</v>
      </c>
      <c r="E95" s="0" t="s">
        <v>364</v>
      </c>
      <c r="F95" s="1" t="s">
        <v>25</v>
      </c>
      <c r="G95" s="0" t="s">
        <v>376</v>
      </c>
      <c r="H95" s="0" t="n">
        <v>1</v>
      </c>
      <c r="I95" s="0" t="s">
        <v>204</v>
      </c>
      <c r="J95" s="0" t="s">
        <v>290</v>
      </c>
    </row>
    <row r="96" customFormat="false" ht="12.5" hidden="false" customHeight="false" outlineLevel="0" collapsed="false">
      <c r="A96" s="5" t="n">
        <v>46053</v>
      </c>
      <c r="B96" s="0" t="s">
        <v>377</v>
      </c>
      <c r="C96" s="0" t="s">
        <v>378</v>
      </c>
      <c r="D96" s="0" t="s">
        <v>310</v>
      </c>
      <c r="E96" s="0" t="s">
        <v>364</v>
      </c>
      <c r="F96" s="1" t="s">
        <v>356</v>
      </c>
      <c r="G96" s="0" t="s">
        <v>379</v>
      </c>
      <c r="H96" s="0" t="n">
        <v>1</v>
      </c>
      <c r="I96" s="0" t="s">
        <v>204</v>
      </c>
      <c r="J96" s="0" t="s">
        <v>290</v>
      </c>
    </row>
    <row r="97" customFormat="false" ht="12.5" hidden="false" customHeight="false" outlineLevel="0" collapsed="false">
      <c r="A97" s="5" t="s">
        <v>10</v>
      </c>
      <c r="B97" s="0" t="s">
        <v>363</v>
      </c>
      <c r="C97" s="0" t="s">
        <v>367</v>
      </c>
      <c r="D97" s="0" t="s">
        <v>310</v>
      </c>
      <c r="E97" s="0" t="s">
        <v>364</v>
      </c>
      <c r="F97" s="1" t="s">
        <v>380</v>
      </c>
      <c r="G97" s="0" t="s">
        <v>381</v>
      </c>
      <c r="H97" s="0" t="n">
        <v>2</v>
      </c>
      <c r="I97" s="0" t="s">
        <v>204</v>
      </c>
      <c r="J97" s="0" t="s">
        <v>290</v>
      </c>
    </row>
    <row r="98" customFormat="false" ht="12.5" hidden="false" customHeight="false" outlineLevel="0" collapsed="false">
      <c r="A98" s="5" t="s">
        <v>10</v>
      </c>
      <c r="B98" s="0" t="s">
        <v>368</v>
      </c>
      <c r="C98" s="0" t="s">
        <v>377</v>
      </c>
      <c r="D98" s="0" t="s">
        <v>310</v>
      </c>
      <c r="E98" s="0" t="s">
        <v>364</v>
      </c>
      <c r="F98" s="1" t="s">
        <v>31</v>
      </c>
      <c r="G98" s="0" t="s">
        <v>382</v>
      </c>
      <c r="H98" s="0" t="n">
        <v>2</v>
      </c>
      <c r="I98" s="0" t="s">
        <v>204</v>
      </c>
      <c r="J98" s="0" t="s">
        <v>290</v>
      </c>
    </row>
    <row r="99" customFormat="false" ht="12.5" hidden="false" customHeight="false" outlineLevel="0" collapsed="false">
      <c r="A99" s="5" t="s">
        <v>10</v>
      </c>
      <c r="B99" s="0" t="s">
        <v>375</v>
      </c>
      <c r="C99" s="0" t="s">
        <v>371</v>
      </c>
      <c r="D99" s="0" t="s">
        <v>310</v>
      </c>
      <c r="E99" s="0" t="s">
        <v>364</v>
      </c>
      <c r="F99" s="1" t="s">
        <v>55</v>
      </c>
      <c r="G99" s="0" t="s">
        <v>383</v>
      </c>
      <c r="H99" s="0" t="n">
        <v>2</v>
      </c>
      <c r="I99" s="0" t="s">
        <v>204</v>
      </c>
      <c r="J99" s="0" t="s">
        <v>290</v>
      </c>
    </row>
    <row r="100" customFormat="false" ht="12.5" hidden="false" customHeight="false" outlineLevel="0" collapsed="false">
      <c r="A100" s="5" t="s">
        <v>10</v>
      </c>
      <c r="B100" s="0" t="s">
        <v>378</v>
      </c>
      <c r="C100" s="0" t="s">
        <v>374</v>
      </c>
      <c r="D100" s="0" t="s">
        <v>310</v>
      </c>
      <c r="E100" s="0" t="s">
        <v>364</v>
      </c>
      <c r="F100" s="1" t="s">
        <v>31</v>
      </c>
      <c r="G100" s="0" t="s">
        <v>384</v>
      </c>
      <c r="H100" s="0" t="n">
        <v>2</v>
      </c>
      <c r="I100" s="0" t="s">
        <v>204</v>
      </c>
      <c r="J100" s="0" t="s">
        <v>290</v>
      </c>
    </row>
    <row r="101" customFormat="false" ht="12.5" hidden="false" customHeight="false" outlineLevel="0" collapsed="false">
      <c r="A101" s="5" t="s">
        <v>10</v>
      </c>
      <c r="B101" s="0" t="s">
        <v>372</v>
      </c>
      <c r="C101" s="0" t="s">
        <v>362</v>
      </c>
      <c r="D101" s="0" t="s">
        <v>310</v>
      </c>
      <c r="E101" s="0" t="s">
        <v>364</v>
      </c>
      <c r="F101" s="1" t="s">
        <v>15</v>
      </c>
      <c r="G101" s="0" t="s">
        <v>385</v>
      </c>
      <c r="H101" s="0" t="n">
        <v>2</v>
      </c>
      <c r="I101" s="0" t="s">
        <v>204</v>
      </c>
      <c r="J101" s="0" t="s">
        <v>290</v>
      </c>
    </row>
    <row r="102" customFormat="false" ht="12.5" hidden="false" customHeight="false" outlineLevel="0" collapsed="false">
      <c r="A102" s="5" t="s">
        <v>32</v>
      </c>
      <c r="B102" s="0" t="s">
        <v>377</v>
      </c>
      <c r="C102" s="0" t="s">
        <v>363</v>
      </c>
      <c r="D102" s="0" t="s">
        <v>310</v>
      </c>
      <c r="E102" s="0" t="s">
        <v>364</v>
      </c>
      <c r="F102" s="1" t="s">
        <v>356</v>
      </c>
      <c r="G102" s="0" t="s">
        <v>379</v>
      </c>
      <c r="H102" s="0" t="n">
        <v>3</v>
      </c>
      <c r="I102" s="0" t="s">
        <v>204</v>
      </c>
      <c r="J102" s="0" t="s">
        <v>290</v>
      </c>
    </row>
    <row r="103" customFormat="false" ht="12.5" hidden="false" customHeight="false" outlineLevel="0" collapsed="false">
      <c r="A103" s="5" t="s">
        <v>32</v>
      </c>
      <c r="B103" s="0" t="s">
        <v>374</v>
      </c>
      <c r="C103" s="0" t="s">
        <v>368</v>
      </c>
      <c r="D103" s="0" t="s">
        <v>310</v>
      </c>
      <c r="E103" s="0" t="s">
        <v>364</v>
      </c>
      <c r="F103" s="1" t="s">
        <v>25</v>
      </c>
      <c r="G103" s="0" t="s">
        <v>376</v>
      </c>
      <c r="H103" s="0" t="n">
        <v>3</v>
      </c>
      <c r="I103" s="0" t="s">
        <v>204</v>
      </c>
      <c r="J103" s="0" t="s">
        <v>290</v>
      </c>
    </row>
    <row r="104" customFormat="false" ht="12.5" hidden="false" customHeight="false" outlineLevel="0" collapsed="false">
      <c r="A104" s="5" t="s">
        <v>32</v>
      </c>
      <c r="B104" s="0" t="s">
        <v>372</v>
      </c>
      <c r="C104" s="0" t="s">
        <v>375</v>
      </c>
      <c r="D104" s="0" t="s">
        <v>310</v>
      </c>
      <c r="E104" s="0" t="s">
        <v>364</v>
      </c>
      <c r="F104" s="1" t="s">
        <v>15</v>
      </c>
      <c r="G104" s="0" t="s">
        <v>385</v>
      </c>
      <c r="H104" s="0" t="n">
        <v>3</v>
      </c>
      <c r="I104" s="0" t="s">
        <v>204</v>
      </c>
      <c r="J104" s="0" t="s">
        <v>290</v>
      </c>
    </row>
    <row r="105" customFormat="false" ht="12.5" hidden="false" customHeight="false" outlineLevel="0" collapsed="false">
      <c r="A105" s="5" t="s">
        <v>32</v>
      </c>
      <c r="B105" s="0" t="s">
        <v>371</v>
      </c>
      <c r="C105" s="0" t="s">
        <v>378</v>
      </c>
      <c r="D105" s="0" t="s">
        <v>310</v>
      </c>
      <c r="E105" s="0" t="s">
        <v>364</v>
      </c>
      <c r="F105" s="1" t="s">
        <v>21</v>
      </c>
      <c r="G105" s="0" t="s">
        <v>373</v>
      </c>
      <c r="H105" s="0" t="n">
        <v>3</v>
      </c>
      <c r="I105" s="0" t="s">
        <v>204</v>
      </c>
      <c r="J105" s="0" t="s">
        <v>290</v>
      </c>
    </row>
    <row r="106" customFormat="false" ht="12.5" hidden="false" customHeight="false" outlineLevel="0" collapsed="false">
      <c r="A106" s="5" t="s">
        <v>32</v>
      </c>
      <c r="B106" s="0" t="s">
        <v>367</v>
      </c>
      <c r="C106" s="0" t="s">
        <v>362</v>
      </c>
      <c r="D106" s="0" t="s">
        <v>310</v>
      </c>
      <c r="E106" s="0" t="s">
        <v>364</v>
      </c>
      <c r="F106" s="1" t="s">
        <v>369</v>
      </c>
      <c r="G106" s="0" t="s">
        <v>370</v>
      </c>
      <c r="H106" s="0" t="n">
        <v>3</v>
      </c>
      <c r="I106" s="0" t="s">
        <v>204</v>
      </c>
      <c r="J106" s="0" t="s">
        <v>290</v>
      </c>
    </row>
    <row r="107" customFormat="false" ht="12.5" hidden="false" customHeight="false" outlineLevel="0" collapsed="false">
      <c r="A107" s="5" t="s">
        <v>38</v>
      </c>
      <c r="B107" s="0" t="s">
        <v>367</v>
      </c>
      <c r="C107" s="0" t="s">
        <v>377</v>
      </c>
      <c r="D107" s="0" t="s">
        <v>310</v>
      </c>
      <c r="E107" s="0" t="s">
        <v>364</v>
      </c>
      <c r="F107" s="1" t="s">
        <v>369</v>
      </c>
      <c r="G107" s="0" t="s">
        <v>370</v>
      </c>
      <c r="H107" s="0" t="n">
        <v>4</v>
      </c>
      <c r="I107" s="0" t="s">
        <v>204</v>
      </c>
      <c r="J107" s="0" t="s">
        <v>290</v>
      </c>
    </row>
    <row r="108" customFormat="false" ht="12.5" hidden="false" customHeight="false" outlineLevel="0" collapsed="false">
      <c r="A108" s="5" t="s">
        <v>38</v>
      </c>
      <c r="B108" s="0" t="s">
        <v>368</v>
      </c>
      <c r="C108" s="0" t="s">
        <v>371</v>
      </c>
      <c r="D108" s="0" t="s">
        <v>310</v>
      </c>
      <c r="E108" s="0" t="s">
        <v>364</v>
      </c>
      <c r="F108" s="1" t="s">
        <v>31</v>
      </c>
      <c r="G108" s="0" t="s">
        <v>382</v>
      </c>
      <c r="H108" s="0" t="n">
        <v>4</v>
      </c>
      <c r="I108" s="0" t="s">
        <v>204</v>
      </c>
      <c r="J108" s="0" t="s">
        <v>290</v>
      </c>
    </row>
    <row r="109" customFormat="false" ht="12.5" hidden="false" customHeight="false" outlineLevel="0" collapsed="false">
      <c r="A109" s="5" t="s">
        <v>38</v>
      </c>
      <c r="B109" s="0" t="s">
        <v>363</v>
      </c>
      <c r="C109" s="0" t="s">
        <v>374</v>
      </c>
      <c r="D109" s="0" t="s">
        <v>310</v>
      </c>
      <c r="E109" s="0" t="s">
        <v>364</v>
      </c>
      <c r="F109" s="1" t="s">
        <v>380</v>
      </c>
      <c r="G109" s="0" t="s">
        <v>381</v>
      </c>
      <c r="H109" s="0" t="n">
        <v>4</v>
      </c>
      <c r="I109" s="0" t="s">
        <v>204</v>
      </c>
      <c r="J109" s="0" t="s">
        <v>290</v>
      </c>
    </row>
    <row r="110" customFormat="false" ht="12.5" hidden="false" customHeight="false" outlineLevel="0" collapsed="false">
      <c r="A110" s="5" t="s">
        <v>38</v>
      </c>
      <c r="B110" s="0" t="s">
        <v>378</v>
      </c>
      <c r="C110" s="0" t="s">
        <v>372</v>
      </c>
      <c r="D110" s="0" t="s">
        <v>310</v>
      </c>
      <c r="E110" s="0" t="s">
        <v>364</v>
      </c>
      <c r="F110" s="1" t="s">
        <v>31</v>
      </c>
      <c r="G110" s="0" t="s">
        <v>384</v>
      </c>
      <c r="H110" s="0" t="n">
        <v>4</v>
      </c>
      <c r="I110" s="0" t="s">
        <v>204</v>
      </c>
      <c r="J110" s="0" t="s">
        <v>290</v>
      </c>
    </row>
    <row r="111" customFormat="false" ht="12.5" hidden="false" customHeight="false" outlineLevel="0" collapsed="false">
      <c r="A111" s="5" t="s">
        <v>38</v>
      </c>
      <c r="B111" s="0" t="s">
        <v>362</v>
      </c>
      <c r="C111" s="0" t="s">
        <v>375</v>
      </c>
      <c r="D111" s="0" t="s">
        <v>310</v>
      </c>
      <c r="E111" s="0" t="s">
        <v>364</v>
      </c>
      <c r="F111" s="1" t="s">
        <v>365</v>
      </c>
      <c r="G111" s="0" t="s">
        <v>366</v>
      </c>
      <c r="H111" s="0" t="n">
        <v>4</v>
      </c>
      <c r="I111" s="0" t="s">
        <v>204</v>
      </c>
      <c r="J111" s="0" t="s">
        <v>290</v>
      </c>
    </row>
    <row r="112" customFormat="false" ht="12.5" hidden="false" customHeight="false" outlineLevel="0" collapsed="false">
      <c r="A112" s="5" t="s">
        <v>39</v>
      </c>
      <c r="B112" s="0" t="s">
        <v>374</v>
      </c>
      <c r="C112" s="0" t="s">
        <v>367</v>
      </c>
      <c r="D112" s="0" t="s">
        <v>310</v>
      </c>
      <c r="E112" s="0" t="s">
        <v>364</v>
      </c>
      <c r="F112" s="1" t="s">
        <v>25</v>
      </c>
      <c r="G112" s="0" t="s">
        <v>376</v>
      </c>
      <c r="H112" s="0" t="n">
        <v>5</v>
      </c>
      <c r="I112" s="0" t="s">
        <v>204</v>
      </c>
      <c r="J112" s="0" t="s">
        <v>290</v>
      </c>
    </row>
    <row r="113" customFormat="false" ht="12.5" hidden="false" customHeight="false" outlineLevel="0" collapsed="false">
      <c r="A113" s="5" t="s">
        <v>39</v>
      </c>
      <c r="B113" s="0" t="s">
        <v>371</v>
      </c>
      <c r="C113" s="0" t="s">
        <v>363</v>
      </c>
      <c r="D113" s="0" t="s">
        <v>310</v>
      </c>
      <c r="E113" s="0" t="s">
        <v>364</v>
      </c>
      <c r="F113" s="1" t="s">
        <v>21</v>
      </c>
      <c r="G113" s="0" t="s">
        <v>373</v>
      </c>
      <c r="H113" s="0" t="n">
        <v>5</v>
      </c>
      <c r="I113" s="0" t="s">
        <v>204</v>
      </c>
      <c r="J113" s="0" t="s">
        <v>290</v>
      </c>
    </row>
    <row r="114" customFormat="false" ht="12.5" hidden="false" customHeight="false" outlineLevel="0" collapsed="false">
      <c r="A114" s="5" t="s">
        <v>39</v>
      </c>
      <c r="B114" s="0" t="s">
        <v>372</v>
      </c>
      <c r="C114" s="0" t="s">
        <v>368</v>
      </c>
      <c r="D114" s="0" t="s">
        <v>310</v>
      </c>
      <c r="E114" s="0" t="s">
        <v>364</v>
      </c>
      <c r="F114" s="1" t="s">
        <v>15</v>
      </c>
      <c r="G114" s="0" t="s">
        <v>385</v>
      </c>
      <c r="H114" s="0" t="n">
        <v>5</v>
      </c>
      <c r="I114" s="0" t="s">
        <v>204</v>
      </c>
      <c r="J114" s="0" t="s">
        <v>290</v>
      </c>
    </row>
    <row r="115" customFormat="false" ht="12.5" hidden="false" customHeight="false" outlineLevel="0" collapsed="false">
      <c r="A115" s="5" t="s">
        <v>39</v>
      </c>
      <c r="B115" s="0" t="s">
        <v>375</v>
      </c>
      <c r="C115" s="0" t="s">
        <v>378</v>
      </c>
      <c r="D115" s="0" t="s">
        <v>310</v>
      </c>
      <c r="E115" s="0" t="s">
        <v>364</v>
      </c>
      <c r="F115" s="1" t="s">
        <v>55</v>
      </c>
      <c r="G115" s="0" t="s">
        <v>383</v>
      </c>
      <c r="H115" s="0" t="n">
        <v>5</v>
      </c>
      <c r="I115" s="0" t="s">
        <v>204</v>
      </c>
      <c r="J115" s="0" t="s">
        <v>290</v>
      </c>
    </row>
    <row r="116" customFormat="false" ht="12.5" hidden="false" customHeight="false" outlineLevel="0" collapsed="false">
      <c r="A116" s="5" t="s">
        <v>39</v>
      </c>
      <c r="B116" s="0" t="s">
        <v>377</v>
      </c>
      <c r="C116" s="0" t="s">
        <v>362</v>
      </c>
      <c r="D116" s="0" t="s">
        <v>310</v>
      </c>
      <c r="E116" s="0" t="s">
        <v>364</v>
      </c>
      <c r="F116" s="1" t="s">
        <v>356</v>
      </c>
      <c r="G116" s="0" t="s">
        <v>379</v>
      </c>
      <c r="H116" s="0" t="n">
        <v>5</v>
      </c>
      <c r="I116" s="0" t="s">
        <v>204</v>
      </c>
      <c r="J116" s="0" t="s">
        <v>290</v>
      </c>
    </row>
    <row r="117" customFormat="false" ht="12.5" hidden="false" customHeight="false" outlineLevel="0" collapsed="false">
      <c r="A117" s="5" t="s">
        <v>40</v>
      </c>
      <c r="B117" s="0" t="s">
        <v>367</v>
      </c>
      <c r="C117" s="0" t="s">
        <v>371</v>
      </c>
      <c r="D117" s="0" t="s">
        <v>310</v>
      </c>
      <c r="E117" s="0" t="s">
        <v>364</v>
      </c>
      <c r="F117" s="1" t="s">
        <v>369</v>
      </c>
      <c r="G117" s="0" t="s">
        <v>370</v>
      </c>
      <c r="H117" s="0" t="n">
        <v>6</v>
      </c>
      <c r="I117" s="0" t="s">
        <v>204</v>
      </c>
      <c r="J117" s="0" t="s">
        <v>290</v>
      </c>
    </row>
    <row r="118" customFormat="false" ht="12.5" hidden="false" customHeight="false" outlineLevel="0" collapsed="false">
      <c r="A118" s="5" t="s">
        <v>40</v>
      </c>
      <c r="B118" s="0" t="s">
        <v>377</v>
      </c>
      <c r="C118" s="0" t="s">
        <v>374</v>
      </c>
      <c r="D118" s="0" t="s">
        <v>310</v>
      </c>
      <c r="E118" s="0" t="s">
        <v>364</v>
      </c>
      <c r="F118" s="1" t="s">
        <v>356</v>
      </c>
      <c r="G118" s="0" t="s">
        <v>379</v>
      </c>
      <c r="H118" s="0" t="n">
        <v>6</v>
      </c>
      <c r="I118" s="0" t="s">
        <v>204</v>
      </c>
      <c r="J118" s="0" t="s">
        <v>290</v>
      </c>
    </row>
    <row r="119" customFormat="false" ht="12.5" hidden="false" customHeight="false" outlineLevel="0" collapsed="false">
      <c r="A119" s="5" t="s">
        <v>40</v>
      </c>
      <c r="B119" s="0" t="s">
        <v>363</v>
      </c>
      <c r="C119" s="0" t="s">
        <v>372</v>
      </c>
      <c r="D119" s="0" t="s">
        <v>310</v>
      </c>
      <c r="E119" s="0" t="s">
        <v>364</v>
      </c>
      <c r="F119" s="1" t="s">
        <v>380</v>
      </c>
      <c r="G119" s="0" t="s">
        <v>381</v>
      </c>
      <c r="H119" s="0" t="n">
        <v>6</v>
      </c>
      <c r="I119" s="0" t="s">
        <v>204</v>
      </c>
      <c r="J119" s="0" t="s">
        <v>290</v>
      </c>
    </row>
    <row r="120" customFormat="false" ht="12.5" hidden="false" customHeight="false" outlineLevel="0" collapsed="false">
      <c r="A120" s="5" t="s">
        <v>40</v>
      </c>
      <c r="B120" s="0" t="s">
        <v>368</v>
      </c>
      <c r="C120" s="0" t="s">
        <v>375</v>
      </c>
      <c r="D120" s="0" t="s">
        <v>310</v>
      </c>
      <c r="E120" s="0" t="s">
        <v>364</v>
      </c>
      <c r="F120" s="1" t="s">
        <v>31</v>
      </c>
      <c r="G120" s="0" t="s">
        <v>382</v>
      </c>
      <c r="H120" s="0" t="n">
        <v>6</v>
      </c>
      <c r="I120" s="0" t="s">
        <v>204</v>
      </c>
      <c r="J120" s="0" t="s">
        <v>290</v>
      </c>
    </row>
    <row r="121" customFormat="false" ht="12.5" hidden="false" customHeight="false" outlineLevel="0" collapsed="false">
      <c r="A121" s="5" t="s">
        <v>40</v>
      </c>
      <c r="B121" s="0" t="s">
        <v>362</v>
      </c>
      <c r="C121" s="0" t="s">
        <v>378</v>
      </c>
      <c r="D121" s="0" t="s">
        <v>310</v>
      </c>
      <c r="E121" s="0" t="s">
        <v>364</v>
      </c>
      <c r="F121" s="1" t="s">
        <v>365</v>
      </c>
      <c r="G121" s="0" t="s">
        <v>366</v>
      </c>
      <c r="H121" s="0" t="n">
        <v>6</v>
      </c>
      <c r="I121" s="0" t="s">
        <v>204</v>
      </c>
      <c r="J121" s="0" t="s">
        <v>290</v>
      </c>
    </row>
    <row r="122" customFormat="false" ht="12.5" hidden="false" customHeight="false" outlineLevel="0" collapsed="false">
      <c r="A122" s="5" t="s">
        <v>41</v>
      </c>
      <c r="B122" s="0" t="s">
        <v>372</v>
      </c>
      <c r="C122" s="0" t="s">
        <v>367</v>
      </c>
      <c r="D122" s="0" t="s">
        <v>310</v>
      </c>
      <c r="E122" s="0" t="s">
        <v>364</v>
      </c>
      <c r="F122" s="1" t="s">
        <v>15</v>
      </c>
      <c r="G122" s="0" t="s">
        <v>385</v>
      </c>
      <c r="H122" s="0" t="n">
        <v>7</v>
      </c>
      <c r="I122" s="0" t="s">
        <v>204</v>
      </c>
      <c r="J122" s="0" t="s">
        <v>290</v>
      </c>
    </row>
    <row r="123" customFormat="false" ht="12.5" hidden="false" customHeight="false" outlineLevel="0" collapsed="false">
      <c r="A123" s="5" t="s">
        <v>41</v>
      </c>
      <c r="B123" s="0" t="s">
        <v>371</v>
      </c>
      <c r="C123" s="0" t="s">
        <v>377</v>
      </c>
      <c r="D123" s="0" t="s">
        <v>310</v>
      </c>
      <c r="E123" s="0" t="s">
        <v>364</v>
      </c>
      <c r="F123" s="1" t="s">
        <v>21</v>
      </c>
      <c r="G123" s="0" t="s">
        <v>373</v>
      </c>
      <c r="H123" s="0" t="n">
        <v>7</v>
      </c>
      <c r="I123" s="0" t="s">
        <v>204</v>
      </c>
      <c r="J123" s="0" t="s">
        <v>290</v>
      </c>
    </row>
    <row r="124" customFormat="false" ht="12.5" hidden="false" customHeight="false" outlineLevel="0" collapsed="false">
      <c r="A124" s="5" t="s">
        <v>41</v>
      </c>
      <c r="B124" s="0" t="s">
        <v>375</v>
      </c>
      <c r="C124" s="0" t="s">
        <v>363</v>
      </c>
      <c r="D124" s="0" t="s">
        <v>310</v>
      </c>
      <c r="E124" s="0" t="s">
        <v>364</v>
      </c>
      <c r="F124" s="1" t="s">
        <v>55</v>
      </c>
      <c r="G124" s="0" t="s">
        <v>383</v>
      </c>
      <c r="H124" s="0" t="n">
        <v>7</v>
      </c>
      <c r="I124" s="0" t="s">
        <v>204</v>
      </c>
      <c r="J124" s="0" t="s">
        <v>290</v>
      </c>
    </row>
    <row r="125" customFormat="false" ht="12.5" hidden="false" customHeight="false" outlineLevel="0" collapsed="false">
      <c r="A125" s="5" t="s">
        <v>41</v>
      </c>
      <c r="B125" s="0" t="s">
        <v>378</v>
      </c>
      <c r="C125" s="0" t="s">
        <v>368</v>
      </c>
      <c r="D125" s="0" t="s">
        <v>310</v>
      </c>
      <c r="E125" s="0" t="s">
        <v>364</v>
      </c>
      <c r="F125" s="1" t="s">
        <v>31</v>
      </c>
      <c r="G125" s="0" t="s">
        <v>384</v>
      </c>
      <c r="H125" s="0" t="n">
        <v>7</v>
      </c>
      <c r="I125" s="0" t="s">
        <v>204</v>
      </c>
      <c r="J125" s="0" t="s">
        <v>290</v>
      </c>
    </row>
    <row r="126" customFormat="false" ht="12.5" hidden="false" customHeight="false" outlineLevel="0" collapsed="false">
      <c r="A126" s="5" t="s">
        <v>41</v>
      </c>
      <c r="B126" s="0" t="s">
        <v>362</v>
      </c>
      <c r="C126" s="0" t="s">
        <v>362</v>
      </c>
      <c r="D126" s="0" t="s">
        <v>310</v>
      </c>
      <c r="E126" s="0" t="s">
        <v>364</v>
      </c>
      <c r="F126" s="1" t="s">
        <v>365</v>
      </c>
      <c r="G126" s="0" t="s">
        <v>366</v>
      </c>
      <c r="H126" s="0" t="n">
        <v>7</v>
      </c>
      <c r="I126" s="0" t="s">
        <v>204</v>
      </c>
      <c r="J126" s="0" t="s">
        <v>290</v>
      </c>
    </row>
    <row r="127" customFormat="false" ht="12.5" hidden="false" customHeight="false" outlineLevel="0" collapsed="false">
      <c r="A127" s="5" t="s">
        <v>42</v>
      </c>
      <c r="B127" s="0" t="s">
        <v>374</v>
      </c>
      <c r="C127" s="0" t="s">
        <v>371</v>
      </c>
      <c r="D127" s="0" t="s">
        <v>310</v>
      </c>
      <c r="E127" s="0" t="s">
        <v>364</v>
      </c>
      <c r="F127" s="1" t="s">
        <v>25</v>
      </c>
      <c r="G127" s="0" t="s">
        <v>376</v>
      </c>
      <c r="H127" s="0" t="n">
        <v>8</v>
      </c>
      <c r="I127" s="0" t="s">
        <v>204</v>
      </c>
      <c r="J127" s="0" t="s">
        <v>290</v>
      </c>
    </row>
    <row r="128" customFormat="false" ht="12.5" hidden="false" customHeight="false" outlineLevel="0" collapsed="false">
      <c r="A128" s="5" t="s">
        <v>42</v>
      </c>
      <c r="B128" s="0" t="s">
        <v>362</v>
      </c>
      <c r="C128" s="0" t="s">
        <v>368</v>
      </c>
      <c r="D128" s="0" t="s">
        <v>310</v>
      </c>
      <c r="E128" s="0" t="s">
        <v>364</v>
      </c>
      <c r="F128" s="1" t="s">
        <v>365</v>
      </c>
      <c r="G128" s="0" t="s">
        <v>366</v>
      </c>
      <c r="H128" s="0" t="n">
        <v>8</v>
      </c>
      <c r="I128" s="0" t="s">
        <v>204</v>
      </c>
      <c r="J128" s="0" t="s">
        <v>290</v>
      </c>
    </row>
    <row r="129" customFormat="false" ht="12.5" hidden="false" customHeight="false" outlineLevel="0" collapsed="false">
      <c r="A129" s="5" t="s">
        <v>42</v>
      </c>
      <c r="B129" s="0" t="s">
        <v>377</v>
      </c>
      <c r="C129" s="0" t="s">
        <v>372</v>
      </c>
      <c r="D129" s="0" t="s">
        <v>310</v>
      </c>
      <c r="E129" s="0" t="s">
        <v>364</v>
      </c>
      <c r="F129" s="1" t="s">
        <v>356</v>
      </c>
      <c r="G129" s="0" t="s">
        <v>379</v>
      </c>
      <c r="H129" s="0" t="n">
        <v>8</v>
      </c>
      <c r="I129" s="0" t="s">
        <v>204</v>
      </c>
      <c r="J129" s="0" t="s">
        <v>290</v>
      </c>
    </row>
    <row r="130" customFormat="false" ht="12.5" hidden="false" customHeight="false" outlineLevel="0" collapsed="false">
      <c r="A130" s="5" t="s">
        <v>42</v>
      </c>
      <c r="B130" s="0" t="s">
        <v>367</v>
      </c>
      <c r="C130" s="0" t="s">
        <v>375</v>
      </c>
      <c r="D130" s="0" t="s">
        <v>310</v>
      </c>
      <c r="E130" s="0" t="s">
        <v>364</v>
      </c>
      <c r="F130" s="1" t="s">
        <v>369</v>
      </c>
      <c r="G130" s="0" t="s">
        <v>370</v>
      </c>
      <c r="H130" s="0" t="n">
        <v>8</v>
      </c>
      <c r="I130" s="0" t="s">
        <v>204</v>
      </c>
      <c r="J130" s="0" t="s">
        <v>290</v>
      </c>
    </row>
    <row r="131" customFormat="false" ht="12.5" hidden="false" customHeight="false" outlineLevel="0" collapsed="false">
      <c r="A131" s="5" t="s">
        <v>42</v>
      </c>
      <c r="B131" s="0" t="s">
        <v>363</v>
      </c>
      <c r="C131" s="0" t="s">
        <v>378</v>
      </c>
      <c r="D131" s="0" t="s">
        <v>310</v>
      </c>
      <c r="E131" s="0" t="s">
        <v>364</v>
      </c>
      <c r="F131" s="1" t="s">
        <v>380</v>
      </c>
      <c r="G131" s="0" t="s">
        <v>381</v>
      </c>
      <c r="H131" s="0" t="n">
        <v>8</v>
      </c>
      <c r="I131" s="0" t="s">
        <v>204</v>
      </c>
      <c r="J131" s="0" t="s">
        <v>290</v>
      </c>
    </row>
    <row r="132" customFormat="false" ht="12.5" hidden="false" customHeight="false" outlineLevel="0" collapsed="false">
      <c r="A132" s="5" t="s">
        <v>43</v>
      </c>
      <c r="B132" s="0" t="s">
        <v>378</v>
      </c>
      <c r="C132" s="0" t="s">
        <v>367</v>
      </c>
      <c r="D132" s="0" t="s">
        <v>310</v>
      </c>
      <c r="E132" s="0" t="s">
        <v>364</v>
      </c>
      <c r="F132" s="1" t="s">
        <v>31</v>
      </c>
      <c r="G132" s="0" t="s">
        <v>384</v>
      </c>
      <c r="H132" s="0" t="n">
        <v>9</v>
      </c>
      <c r="I132" s="0" t="s">
        <v>204</v>
      </c>
      <c r="J132" s="0" t="s">
        <v>290</v>
      </c>
    </row>
    <row r="133" customFormat="false" ht="12.5" hidden="false" customHeight="false" outlineLevel="0" collapsed="false">
      <c r="A133" s="5" t="s">
        <v>43</v>
      </c>
      <c r="B133" s="0" t="s">
        <v>375</v>
      </c>
      <c r="C133" s="0" t="s">
        <v>377</v>
      </c>
      <c r="D133" s="0" t="s">
        <v>310</v>
      </c>
      <c r="E133" s="0" t="s">
        <v>364</v>
      </c>
      <c r="F133" s="1" t="s">
        <v>55</v>
      </c>
      <c r="G133" s="0" t="s">
        <v>383</v>
      </c>
      <c r="H133" s="0" t="n">
        <v>9</v>
      </c>
      <c r="I133" s="0" t="s">
        <v>204</v>
      </c>
      <c r="J133" s="0" t="s">
        <v>290</v>
      </c>
    </row>
    <row r="134" customFormat="false" ht="12.5" hidden="false" customHeight="false" outlineLevel="0" collapsed="false">
      <c r="A134" s="5" t="s">
        <v>43</v>
      </c>
      <c r="B134" s="0" t="s">
        <v>368</v>
      </c>
      <c r="C134" s="0" t="s">
        <v>363</v>
      </c>
      <c r="D134" s="0" t="s">
        <v>310</v>
      </c>
      <c r="E134" s="0" t="s">
        <v>364</v>
      </c>
      <c r="F134" s="1" t="s">
        <v>31</v>
      </c>
      <c r="G134" s="0" t="s">
        <v>382</v>
      </c>
      <c r="H134" s="0" t="n">
        <v>9</v>
      </c>
      <c r="I134" s="0" t="s">
        <v>204</v>
      </c>
      <c r="J134" s="0" t="s">
        <v>290</v>
      </c>
    </row>
    <row r="135" customFormat="false" ht="12.5" hidden="false" customHeight="false" outlineLevel="0" collapsed="false">
      <c r="A135" s="5" t="s">
        <v>43</v>
      </c>
      <c r="B135" s="0" t="s">
        <v>372</v>
      </c>
      <c r="C135" s="0" t="s">
        <v>374</v>
      </c>
      <c r="D135" s="0" t="s">
        <v>310</v>
      </c>
      <c r="E135" s="0" t="s">
        <v>364</v>
      </c>
      <c r="F135" s="1" t="s">
        <v>15</v>
      </c>
      <c r="G135" s="0" t="s">
        <v>385</v>
      </c>
      <c r="H135" s="0" t="n">
        <v>9</v>
      </c>
      <c r="I135" s="0" t="s">
        <v>204</v>
      </c>
      <c r="J135" s="0" t="s">
        <v>290</v>
      </c>
    </row>
    <row r="136" customFormat="false" ht="12.5" hidden="false" customHeight="false" outlineLevel="0" collapsed="false">
      <c r="A136" s="5" t="s">
        <v>43</v>
      </c>
      <c r="B136" s="0" t="s">
        <v>371</v>
      </c>
      <c r="C136" s="0" t="s">
        <v>362</v>
      </c>
      <c r="D136" s="0" t="s">
        <v>310</v>
      </c>
      <c r="E136" s="0" t="s">
        <v>364</v>
      </c>
      <c r="F136" s="1" t="s">
        <v>21</v>
      </c>
      <c r="G136" s="0" t="s">
        <v>373</v>
      </c>
      <c r="H136" s="0" t="n">
        <v>9</v>
      </c>
      <c r="I136" s="0" t="s">
        <v>204</v>
      </c>
      <c r="J136" s="0" t="s">
        <v>290</v>
      </c>
    </row>
    <row r="137" customFormat="false" ht="12.5" hidden="false" customHeight="false" outlineLevel="0" collapsed="false">
      <c r="A137" s="5" t="n">
        <v>46053</v>
      </c>
      <c r="B137" s="0" t="s">
        <v>386</v>
      </c>
      <c r="C137" s="0" t="s">
        <v>387</v>
      </c>
      <c r="D137" s="0" t="s">
        <v>310</v>
      </c>
      <c r="E137" s="0" t="s">
        <v>388</v>
      </c>
      <c r="F137" s="1" t="s">
        <v>365</v>
      </c>
      <c r="G137" s="0" t="s">
        <v>389</v>
      </c>
      <c r="H137" s="0" t="n">
        <v>1</v>
      </c>
      <c r="I137" s="0" t="s">
        <v>17</v>
      </c>
      <c r="J137" s="0" t="s">
        <v>290</v>
      </c>
    </row>
    <row r="138" customFormat="false" ht="12.5" hidden="false" customHeight="false" outlineLevel="0" collapsed="false">
      <c r="A138" s="5" t="n">
        <v>46053</v>
      </c>
      <c r="B138" s="0" t="s">
        <v>390</v>
      </c>
      <c r="C138" s="0" t="s">
        <v>391</v>
      </c>
      <c r="D138" s="0" t="s">
        <v>310</v>
      </c>
      <c r="E138" s="0" t="s">
        <v>388</v>
      </c>
      <c r="F138" s="1" t="s">
        <v>89</v>
      </c>
      <c r="G138" s="0" t="s">
        <v>392</v>
      </c>
      <c r="H138" s="0" t="n">
        <v>1</v>
      </c>
      <c r="I138" s="0" t="s">
        <v>17</v>
      </c>
      <c r="J138" s="0" t="s">
        <v>290</v>
      </c>
    </row>
    <row r="139" customFormat="false" ht="12.5" hidden="false" customHeight="false" outlineLevel="0" collapsed="false">
      <c r="A139" s="5" t="n">
        <v>46053</v>
      </c>
      <c r="B139" s="0" t="s">
        <v>393</v>
      </c>
      <c r="C139" s="0" t="s">
        <v>292</v>
      </c>
      <c r="D139" s="0" t="s">
        <v>310</v>
      </c>
      <c r="E139" s="0" t="s">
        <v>388</v>
      </c>
      <c r="F139" s="1" t="s">
        <v>15</v>
      </c>
      <c r="G139" s="0" t="s">
        <v>394</v>
      </c>
      <c r="H139" s="0" t="n">
        <v>1</v>
      </c>
      <c r="I139" s="0" t="s">
        <v>17</v>
      </c>
      <c r="J139" s="0" t="s">
        <v>290</v>
      </c>
    </row>
    <row r="140" customFormat="false" ht="12.5" hidden="false" customHeight="false" outlineLevel="0" collapsed="false">
      <c r="A140" s="5" t="n">
        <v>46053</v>
      </c>
      <c r="B140" s="0" t="s">
        <v>395</v>
      </c>
      <c r="C140" s="0" t="s">
        <v>396</v>
      </c>
      <c r="D140" s="0" t="s">
        <v>310</v>
      </c>
      <c r="E140" s="0" t="s">
        <v>388</v>
      </c>
      <c r="F140" s="1" t="s">
        <v>21</v>
      </c>
      <c r="G140" s="0" t="s">
        <v>397</v>
      </c>
      <c r="H140" s="0" t="n">
        <v>1</v>
      </c>
      <c r="I140" s="0" t="s">
        <v>17</v>
      </c>
      <c r="J140" s="0" t="s">
        <v>290</v>
      </c>
    </row>
    <row r="141" customFormat="false" ht="12.5" hidden="false" customHeight="false" outlineLevel="0" collapsed="false">
      <c r="A141" s="5" t="n">
        <v>46053</v>
      </c>
      <c r="B141" s="0" t="s">
        <v>398</v>
      </c>
      <c r="C141" s="0" t="s">
        <v>399</v>
      </c>
      <c r="D141" s="0" t="s">
        <v>310</v>
      </c>
      <c r="E141" s="0" t="s">
        <v>388</v>
      </c>
      <c r="F141" s="1" t="s">
        <v>25</v>
      </c>
      <c r="G141" s="0" t="s">
        <v>400</v>
      </c>
      <c r="H141" s="0" t="n">
        <v>1</v>
      </c>
      <c r="I141" s="0" t="s">
        <v>17</v>
      </c>
      <c r="J141" s="0" t="s">
        <v>290</v>
      </c>
    </row>
    <row r="142" customFormat="false" ht="12.5" hidden="false" customHeight="false" outlineLevel="0" collapsed="false">
      <c r="A142" s="5" t="s">
        <v>10</v>
      </c>
      <c r="B142" s="0" t="s">
        <v>292</v>
      </c>
      <c r="C142" s="0" t="s">
        <v>390</v>
      </c>
      <c r="D142" s="0" t="s">
        <v>310</v>
      </c>
      <c r="E142" s="0" t="s">
        <v>388</v>
      </c>
      <c r="F142" s="1" t="s">
        <v>15</v>
      </c>
      <c r="G142" s="0" t="s">
        <v>401</v>
      </c>
      <c r="H142" s="0" t="n">
        <v>2</v>
      </c>
      <c r="I142" s="0" t="s">
        <v>17</v>
      </c>
      <c r="J142" s="0" t="s">
        <v>290</v>
      </c>
    </row>
    <row r="143" customFormat="false" ht="12.5" hidden="false" customHeight="false" outlineLevel="0" collapsed="false">
      <c r="A143" s="5" t="s">
        <v>10</v>
      </c>
      <c r="B143" s="0" t="s">
        <v>399</v>
      </c>
      <c r="C143" s="0" t="s">
        <v>386</v>
      </c>
      <c r="D143" s="0" t="s">
        <v>310</v>
      </c>
      <c r="E143" s="0" t="s">
        <v>388</v>
      </c>
      <c r="F143" s="1" t="s">
        <v>31</v>
      </c>
      <c r="G143" s="0" t="s">
        <v>402</v>
      </c>
      <c r="H143" s="0" t="n">
        <v>2</v>
      </c>
      <c r="I143" s="0" t="s">
        <v>17</v>
      </c>
      <c r="J143" s="0" t="s">
        <v>290</v>
      </c>
    </row>
    <row r="144" customFormat="false" ht="12.5" hidden="false" customHeight="false" outlineLevel="0" collapsed="false">
      <c r="A144" s="5" t="s">
        <v>10</v>
      </c>
      <c r="B144" s="0" t="s">
        <v>396</v>
      </c>
      <c r="C144" s="0" t="s">
        <v>398</v>
      </c>
      <c r="D144" s="0" t="s">
        <v>310</v>
      </c>
      <c r="E144" s="0" t="s">
        <v>388</v>
      </c>
      <c r="F144" s="1" t="s">
        <v>21</v>
      </c>
      <c r="G144" s="0" t="s">
        <v>403</v>
      </c>
      <c r="H144" s="0" t="n">
        <v>2</v>
      </c>
      <c r="I144" s="0" t="s">
        <v>17</v>
      </c>
      <c r="J144" s="0" t="s">
        <v>290</v>
      </c>
    </row>
    <row r="145" customFormat="false" ht="12.5" hidden="false" customHeight="false" outlineLevel="0" collapsed="false">
      <c r="A145" s="5" t="s">
        <v>10</v>
      </c>
      <c r="B145" s="0" t="s">
        <v>387</v>
      </c>
      <c r="C145" s="0" t="s">
        <v>393</v>
      </c>
      <c r="D145" s="0" t="s">
        <v>310</v>
      </c>
      <c r="E145" s="0" t="s">
        <v>388</v>
      </c>
      <c r="F145" s="1" t="s">
        <v>404</v>
      </c>
      <c r="G145" s="0" t="s">
        <v>405</v>
      </c>
      <c r="H145" s="0" t="n">
        <v>2</v>
      </c>
      <c r="I145" s="0" t="s">
        <v>17</v>
      </c>
      <c r="J145" s="0" t="s">
        <v>290</v>
      </c>
    </row>
    <row r="146" customFormat="false" ht="12.5" hidden="false" customHeight="false" outlineLevel="0" collapsed="false">
      <c r="A146" s="5" t="s">
        <v>10</v>
      </c>
      <c r="B146" s="0" t="s">
        <v>391</v>
      </c>
      <c r="C146" s="0" t="s">
        <v>395</v>
      </c>
      <c r="D146" s="0" t="s">
        <v>310</v>
      </c>
      <c r="E146" s="0" t="s">
        <v>388</v>
      </c>
      <c r="F146" s="1" t="s">
        <v>89</v>
      </c>
      <c r="G146" s="0" t="s">
        <v>406</v>
      </c>
      <c r="H146" s="0" t="n">
        <v>2</v>
      </c>
      <c r="I146" s="0" t="s">
        <v>17</v>
      </c>
      <c r="J146" s="0" t="s">
        <v>290</v>
      </c>
    </row>
    <row r="147" customFormat="false" ht="12.5" hidden="false" customHeight="false" outlineLevel="0" collapsed="false">
      <c r="A147" s="5" t="s">
        <v>32</v>
      </c>
      <c r="B147" s="0" t="s">
        <v>390</v>
      </c>
      <c r="C147" s="0" t="s">
        <v>387</v>
      </c>
      <c r="D147" s="0" t="s">
        <v>310</v>
      </c>
      <c r="E147" s="0" t="s">
        <v>388</v>
      </c>
      <c r="F147" s="1" t="s">
        <v>89</v>
      </c>
      <c r="G147" s="0" t="s">
        <v>392</v>
      </c>
      <c r="H147" s="0" t="n">
        <v>3</v>
      </c>
      <c r="I147" s="0" t="s">
        <v>17</v>
      </c>
      <c r="J147" s="0" t="s">
        <v>290</v>
      </c>
    </row>
    <row r="148" customFormat="false" ht="12.5" hidden="false" customHeight="false" outlineLevel="0" collapsed="false">
      <c r="A148" s="5" t="s">
        <v>32</v>
      </c>
      <c r="B148" s="0" t="s">
        <v>391</v>
      </c>
      <c r="C148" s="0" t="s">
        <v>292</v>
      </c>
      <c r="D148" s="0" t="s">
        <v>310</v>
      </c>
      <c r="E148" s="0" t="s">
        <v>388</v>
      </c>
      <c r="F148" s="1" t="s">
        <v>89</v>
      </c>
      <c r="G148" s="0" t="s">
        <v>406</v>
      </c>
      <c r="H148" s="0" t="n">
        <v>3</v>
      </c>
      <c r="I148" s="0" t="s">
        <v>17</v>
      </c>
      <c r="J148" s="0" t="s">
        <v>290</v>
      </c>
    </row>
    <row r="149" customFormat="false" ht="12.5" hidden="false" customHeight="false" outlineLevel="0" collapsed="false">
      <c r="A149" s="5" t="s">
        <v>32</v>
      </c>
      <c r="B149" s="0" t="s">
        <v>386</v>
      </c>
      <c r="C149" s="0" t="s">
        <v>396</v>
      </c>
      <c r="D149" s="0" t="s">
        <v>310</v>
      </c>
      <c r="E149" s="0" t="s">
        <v>388</v>
      </c>
      <c r="F149" s="1" t="s">
        <v>365</v>
      </c>
      <c r="G149" s="0" t="s">
        <v>389</v>
      </c>
      <c r="H149" s="0" t="n">
        <v>3</v>
      </c>
      <c r="I149" s="0" t="s">
        <v>17</v>
      </c>
      <c r="J149" s="0" t="s">
        <v>290</v>
      </c>
    </row>
    <row r="150" customFormat="false" ht="12.5" hidden="false" customHeight="false" outlineLevel="0" collapsed="false">
      <c r="A150" s="5" t="s">
        <v>32</v>
      </c>
      <c r="B150" s="0" t="s">
        <v>393</v>
      </c>
      <c r="C150" s="0" t="s">
        <v>399</v>
      </c>
      <c r="D150" s="0" t="s">
        <v>310</v>
      </c>
      <c r="E150" s="0" t="s">
        <v>388</v>
      </c>
      <c r="F150" s="1" t="s">
        <v>15</v>
      </c>
      <c r="G150" s="0" t="s">
        <v>394</v>
      </c>
      <c r="H150" s="0" t="n">
        <v>3</v>
      </c>
      <c r="I150" s="0" t="s">
        <v>17</v>
      </c>
      <c r="J150" s="0" t="s">
        <v>290</v>
      </c>
    </row>
    <row r="151" customFormat="false" ht="12.5" hidden="false" customHeight="false" outlineLevel="0" collapsed="false">
      <c r="A151" s="5" t="s">
        <v>32</v>
      </c>
      <c r="B151" s="0" t="s">
        <v>398</v>
      </c>
      <c r="C151" s="0" t="s">
        <v>395</v>
      </c>
      <c r="D151" s="0" t="s">
        <v>310</v>
      </c>
      <c r="E151" s="0" t="s">
        <v>388</v>
      </c>
      <c r="F151" s="1" t="s">
        <v>25</v>
      </c>
      <c r="G151" s="0" t="s">
        <v>400</v>
      </c>
      <c r="H151" s="0" t="n">
        <v>3</v>
      </c>
      <c r="I151" s="0" t="s">
        <v>17</v>
      </c>
      <c r="J151" s="0" t="s">
        <v>290</v>
      </c>
    </row>
    <row r="152" customFormat="false" ht="12.5" hidden="false" customHeight="false" outlineLevel="0" collapsed="false">
      <c r="A152" s="5" t="s">
        <v>38</v>
      </c>
      <c r="B152" s="0" t="s">
        <v>387</v>
      </c>
      <c r="C152" s="0" t="s">
        <v>391</v>
      </c>
      <c r="D152" s="0" t="s">
        <v>310</v>
      </c>
      <c r="E152" s="0" t="s">
        <v>388</v>
      </c>
      <c r="F152" s="1" t="s">
        <v>404</v>
      </c>
      <c r="G152" s="0" t="s">
        <v>405</v>
      </c>
      <c r="H152" s="0" t="n">
        <v>4</v>
      </c>
      <c r="I152" s="0" t="s">
        <v>17</v>
      </c>
      <c r="J152" s="0" t="s">
        <v>290</v>
      </c>
    </row>
    <row r="153" customFormat="false" ht="12.5" hidden="false" customHeight="false" outlineLevel="0" collapsed="false">
      <c r="A153" s="5" t="s">
        <v>38</v>
      </c>
      <c r="B153" s="0" t="s">
        <v>399</v>
      </c>
      <c r="C153" s="0" t="s">
        <v>390</v>
      </c>
      <c r="D153" s="0" t="s">
        <v>310</v>
      </c>
      <c r="E153" s="0" t="s">
        <v>388</v>
      </c>
      <c r="F153" s="1" t="s">
        <v>31</v>
      </c>
      <c r="G153" s="0" t="s">
        <v>402</v>
      </c>
      <c r="H153" s="0" t="n">
        <v>4</v>
      </c>
      <c r="I153" s="0" t="s">
        <v>17</v>
      </c>
      <c r="J153" s="0" t="s">
        <v>290</v>
      </c>
    </row>
    <row r="154" customFormat="false" ht="12.5" hidden="false" customHeight="false" outlineLevel="0" collapsed="false">
      <c r="A154" s="5" t="s">
        <v>38</v>
      </c>
      <c r="B154" s="0" t="s">
        <v>395</v>
      </c>
      <c r="C154" s="0" t="s">
        <v>292</v>
      </c>
      <c r="D154" s="0" t="s">
        <v>310</v>
      </c>
      <c r="E154" s="0" t="s">
        <v>388</v>
      </c>
      <c r="F154" s="1" t="s">
        <v>21</v>
      </c>
      <c r="G154" s="0" t="s">
        <v>397</v>
      </c>
      <c r="H154" s="0" t="n">
        <v>4</v>
      </c>
      <c r="I154" s="0" t="s">
        <v>17</v>
      </c>
      <c r="J154" s="0" t="s">
        <v>290</v>
      </c>
    </row>
    <row r="155" customFormat="false" ht="12.5" hidden="false" customHeight="false" outlineLevel="0" collapsed="false">
      <c r="A155" s="5" t="s">
        <v>38</v>
      </c>
      <c r="B155" s="0" t="s">
        <v>398</v>
      </c>
      <c r="C155" s="0" t="s">
        <v>386</v>
      </c>
      <c r="D155" s="0" t="s">
        <v>310</v>
      </c>
      <c r="E155" s="0" t="s">
        <v>388</v>
      </c>
      <c r="F155" s="1" t="s">
        <v>25</v>
      </c>
      <c r="G155" s="0" t="s">
        <v>400</v>
      </c>
      <c r="H155" s="0" t="n">
        <v>4</v>
      </c>
      <c r="I155" s="0" t="s">
        <v>17</v>
      </c>
      <c r="J155" s="0" t="s">
        <v>290</v>
      </c>
    </row>
    <row r="156" customFormat="false" ht="12.5" hidden="false" customHeight="false" outlineLevel="0" collapsed="false">
      <c r="A156" s="5" t="s">
        <v>38</v>
      </c>
      <c r="B156" s="0" t="s">
        <v>396</v>
      </c>
      <c r="C156" s="0" t="s">
        <v>393</v>
      </c>
      <c r="D156" s="0" t="s">
        <v>310</v>
      </c>
      <c r="E156" s="0" t="s">
        <v>388</v>
      </c>
      <c r="F156" s="1" t="s">
        <v>21</v>
      </c>
      <c r="G156" s="0" t="s">
        <v>403</v>
      </c>
      <c r="H156" s="0" t="n">
        <v>4</v>
      </c>
      <c r="I156" s="0" t="s">
        <v>17</v>
      </c>
      <c r="J156" s="0" t="s">
        <v>290</v>
      </c>
    </row>
    <row r="157" customFormat="false" ht="12.5" hidden="false" customHeight="false" outlineLevel="0" collapsed="false">
      <c r="A157" s="5" t="s">
        <v>39</v>
      </c>
      <c r="B157" s="0" t="s">
        <v>292</v>
      </c>
      <c r="C157" s="0" t="s">
        <v>387</v>
      </c>
      <c r="D157" s="0" t="s">
        <v>310</v>
      </c>
      <c r="E157" s="0" t="s">
        <v>388</v>
      </c>
      <c r="F157" s="1" t="s">
        <v>15</v>
      </c>
      <c r="G157" s="0" t="s">
        <v>401</v>
      </c>
      <c r="H157" s="0" t="n">
        <v>5</v>
      </c>
      <c r="I157" s="0" t="s">
        <v>17</v>
      </c>
      <c r="J157" s="0" t="s">
        <v>290</v>
      </c>
    </row>
    <row r="158" customFormat="false" ht="12.5" hidden="false" customHeight="false" outlineLevel="0" collapsed="false">
      <c r="A158" s="5" t="s">
        <v>39</v>
      </c>
      <c r="B158" s="0" t="s">
        <v>390</v>
      </c>
      <c r="C158" s="0" t="s">
        <v>396</v>
      </c>
      <c r="D158" s="0" t="s">
        <v>310</v>
      </c>
      <c r="E158" s="0" t="s">
        <v>388</v>
      </c>
      <c r="F158" s="1" t="s">
        <v>89</v>
      </c>
      <c r="G158" s="0" t="s">
        <v>392</v>
      </c>
      <c r="H158" s="0" t="n">
        <v>5</v>
      </c>
      <c r="I158" s="0" t="s">
        <v>17</v>
      </c>
      <c r="J158" s="0" t="s">
        <v>290</v>
      </c>
    </row>
    <row r="159" customFormat="false" ht="12.5" hidden="false" customHeight="false" outlineLevel="0" collapsed="false">
      <c r="A159" s="5" t="s">
        <v>39</v>
      </c>
      <c r="B159" s="0" t="s">
        <v>391</v>
      </c>
      <c r="C159" s="0" t="s">
        <v>399</v>
      </c>
      <c r="D159" s="0" t="s">
        <v>310</v>
      </c>
      <c r="E159" s="0" t="s">
        <v>388</v>
      </c>
      <c r="F159" s="1" t="s">
        <v>89</v>
      </c>
      <c r="G159" s="0" t="s">
        <v>406</v>
      </c>
      <c r="H159" s="0" t="n">
        <v>5</v>
      </c>
      <c r="I159" s="0" t="s">
        <v>17</v>
      </c>
      <c r="J159" s="0" t="s">
        <v>290</v>
      </c>
    </row>
    <row r="160" customFormat="false" ht="12.5" hidden="false" customHeight="false" outlineLevel="0" collapsed="false">
      <c r="A160" s="5" t="s">
        <v>39</v>
      </c>
      <c r="B160" s="0" t="s">
        <v>393</v>
      </c>
      <c r="C160" s="0" t="s">
        <v>398</v>
      </c>
      <c r="D160" s="0" t="s">
        <v>310</v>
      </c>
      <c r="E160" s="0" t="s">
        <v>388</v>
      </c>
      <c r="F160" s="1" t="s">
        <v>15</v>
      </c>
      <c r="G160" s="0" t="s">
        <v>394</v>
      </c>
      <c r="H160" s="0" t="n">
        <v>5</v>
      </c>
      <c r="I160" s="0" t="s">
        <v>17</v>
      </c>
      <c r="J160" s="0" t="s">
        <v>290</v>
      </c>
    </row>
    <row r="161" customFormat="false" ht="12.5" hidden="false" customHeight="false" outlineLevel="0" collapsed="false">
      <c r="A161" s="5" t="s">
        <v>39</v>
      </c>
      <c r="B161" s="0" t="s">
        <v>386</v>
      </c>
      <c r="C161" s="0" t="s">
        <v>395</v>
      </c>
      <c r="D161" s="0" t="s">
        <v>310</v>
      </c>
      <c r="E161" s="0" t="s">
        <v>388</v>
      </c>
      <c r="F161" s="1" t="s">
        <v>365</v>
      </c>
      <c r="G161" s="0" t="s">
        <v>389</v>
      </c>
      <c r="H161" s="0" t="n">
        <v>5</v>
      </c>
      <c r="I161" s="0" t="s">
        <v>17</v>
      </c>
      <c r="J161" s="0" t="s">
        <v>290</v>
      </c>
    </row>
    <row r="162" customFormat="false" ht="12.5" hidden="false" customHeight="false" outlineLevel="0" collapsed="false">
      <c r="A162" s="5" t="s">
        <v>40</v>
      </c>
      <c r="B162" s="0" t="s">
        <v>395</v>
      </c>
      <c r="C162" s="0" t="s">
        <v>387</v>
      </c>
      <c r="D162" s="0" t="s">
        <v>310</v>
      </c>
      <c r="E162" s="0" t="s">
        <v>388</v>
      </c>
      <c r="F162" s="1" t="s">
        <v>21</v>
      </c>
      <c r="G162" s="0" t="s">
        <v>397</v>
      </c>
      <c r="H162" s="0" t="n">
        <v>6</v>
      </c>
      <c r="I162" s="0" t="s">
        <v>17</v>
      </c>
      <c r="J162" s="0" t="s">
        <v>290</v>
      </c>
    </row>
    <row r="163" customFormat="false" ht="12.5" hidden="false" customHeight="false" outlineLevel="0" collapsed="false">
      <c r="A163" s="5" t="s">
        <v>40</v>
      </c>
      <c r="B163" s="0" t="s">
        <v>396</v>
      </c>
      <c r="C163" s="0" t="s">
        <v>391</v>
      </c>
      <c r="D163" s="0" t="s">
        <v>310</v>
      </c>
      <c r="E163" s="0" t="s">
        <v>388</v>
      </c>
      <c r="F163" s="1" t="s">
        <v>21</v>
      </c>
      <c r="G163" s="0" t="s">
        <v>403</v>
      </c>
      <c r="H163" s="0" t="n">
        <v>6</v>
      </c>
      <c r="I163" s="0" t="s">
        <v>17</v>
      </c>
      <c r="J163" s="0" t="s">
        <v>290</v>
      </c>
    </row>
    <row r="164" customFormat="false" ht="12.5" hidden="false" customHeight="false" outlineLevel="0" collapsed="false">
      <c r="A164" s="5" t="s">
        <v>40</v>
      </c>
      <c r="B164" s="0" t="s">
        <v>398</v>
      </c>
      <c r="C164" s="0" t="s">
        <v>390</v>
      </c>
      <c r="D164" s="0" t="s">
        <v>310</v>
      </c>
      <c r="E164" s="0" t="s">
        <v>388</v>
      </c>
      <c r="F164" s="1" t="s">
        <v>25</v>
      </c>
      <c r="G164" s="0" t="s">
        <v>400</v>
      </c>
      <c r="H164" s="0" t="n">
        <v>6</v>
      </c>
      <c r="I164" s="0" t="s">
        <v>17</v>
      </c>
      <c r="J164" s="0" t="s">
        <v>290</v>
      </c>
    </row>
    <row r="165" customFormat="false" ht="12.5" hidden="false" customHeight="false" outlineLevel="0" collapsed="false">
      <c r="A165" s="5" t="s">
        <v>40</v>
      </c>
      <c r="B165" s="0" t="s">
        <v>399</v>
      </c>
      <c r="C165" s="0" t="s">
        <v>292</v>
      </c>
      <c r="D165" s="0" t="s">
        <v>310</v>
      </c>
      <c r="E165" s="0" t="s">
        <v>388</v>
      </c>
      <c r="F165" s="1" t="s">
        <v>31</v>
      </c>
      <c r="G165" s="0" t="s">
        <v>402</v>
      </c>
      <c r="H165" s="0" t="n">
        <v>6</v>
      </c>
      <c r="I165" s="0" t="s">
        <v>17</v>
      </c>
      <c r="J165" s="0" t="s">
        <v>290</v>
      </c>
    </row>
    <row r="166" customFormat="false" ht="12.5" hidden="false" customHeight="false" outlineLevel="0" collapsed="false">
      <c r="A166" s="5" t="s">
        <v>40</v>
      </c>
      <c r="B166" s="0" t="s">
        <v>386</v>
      </c>
      <c r="C166" s="0" t="s">
        <v>393</v>
      </c>
      <c r="D166" s="0" t="s">
        <v>310</v>
      </c>
      <c r="E166" s="0" t="s">
        <v>388</v>
      </c>
      <c r="F166" s="1" t="s">
        <v>365</v>
      </c>
      <c r="G166" s="0" t="s">
        <v>389</v>
      </c>
      <c r="H166" s="0" t="n">
        <v>6</v>
      </c>
      <c r="I166" s="0" t="s">
        <v>17</v>
      </c>
      <c r="J166" s="0" t="s">
        <v>290</v>
      </c>
    </row>
    <row r="167" customFormat="false" ht="12.5" hidden="false" customHeight="false" outlineLevel="0" collapsed="false">
      <c r="A167" s="5" t="s">
        <v>41</v>
      </c>
      <c r="B167" s="0" t="s">
        <v>390</v>
      </c>
      <c r="C167" s="0" t="s">
        <v>386</v>
      </c>
      <c r="D167" s="0" t="s">
        <v>310</v>
      </c>
      <c r="E167" s="0" t="s">
        <v>388</v>
      </c>
      <c r="F167" s="1" t="s">
        <v>89</v>
      </c>
      <c r="G167" s="0" t="s">
        <v>392</v>
      </c>
      <c r="H167" s="0" t="n">
        <v>7</v>
      </c>
      <c r="I167" s="0" t="s">
        <v>17</v>
      </c>
      <c r="J167" s="0" t="s">
        <v>290</v>
      </c>
    </row>
    <row r="168" customFormat="false" ht="12.5" hidden="false" customHeight="false" outlineLevel="0" collapsed="false">
      <c r="A168" s="5" t="s">
        <v>41</v>
      </c>
      <c r="B168" s="0" t="s">
        <v>292</v>
      </c>
      <c r="C168" s="0" t="s">
        <v>396</v>
      </c>
      <c r="D168" s="0" t="s">
        <v>310</v>
      </c>
      <c r="E168" s="0" t="s">
        <v>388</v>
      </c>
      <c r="F168" s="1" t="s">
        <v>15</v>
      </c>
      <c r="G168" s="0" t="s">
        <v>401</v>
      </c>
      <c r="H168" s="0" t="n">
        <v>7</v>
      </c>
      <c r="I168" s="0" t="s">
        <v>17</v>
      </c>
      <c r="J168" s="0" t="s">
        <v>290</v>
      </c>
    </row>
    <row r="169" customFormat="false" ht="12.5" hidden="false" customHeight="false" outlineLevel="0" collapsed="false">
      <c r="A169" s="5" t="s">
        <v>41</v>
      </c>
      <c r="B169" s="0" t="s">
        <v>387</v>
      </c>
      <c r="C169" s="0" t="s">
        <v>399</v>
      </c>
      <c r="D169" s="0" t="s">
        <v>310</v>
      </c>
      <c r="E169" s="0" t="s">
        <v>388</v>
      </c>
      <c r="F169" s="1" t="s">
        <v>404</v>
      </c>
      <c r="G169" s="0" t="s">
        <v>405</v>
      </c>
      <c r="H169" s="0" t="n">
        <v>7</v>
      </c>
      <c r="I169" s="0" t="s">
        <v>17</v>
      </c>
      <c r="J169" s="0" t="s">
        <v>290</v>
      </c>
    </row>
    <row r="170" customFormat="false" ht="12.5" hidden="false" customHeight="false" outlineLevel="0" collapsed="false">
      <c r="A170" s="5" t="s">
        <v>41</v>
      </c>
      <c r="B170" s="0" t="s">
        <v>391</v>
      </c>
      <c r="C170" s="0" t="s">
        <v>398</v>
      </c>
      <c r="D170" s="0" t="s">
        <v>310</v>
      </c>
      <c r="E170" s="0" t="s">
        <v>388</v>
      </c>
      <c r="F170" s="1" t="s">
        <v>89</v>
      </c>
      <c r="G170" s="0" t="s">
        <v>406</v>
      </c>
      <c r="H170" s="0" t="n">
        <v>7</v>
      </c>
      <c r="I170" s="0" t="s">
        <v>17</v>
      </c>
      <c r="J170" s="0" t="s">
        <v>290</v>
      </c>
    </row>
    <row r="171" customFormat="false" ht="12.5" hidden="false" customHeight="false" outlineLevel="0" collapsed="false">
      <c r="A171" s="5" t="s">
        <v>41</v>
      </c>
      <c r="B171" s="0" t="s">
        <v>393</v>
      </c>
      <c r="C171" s="0" t="s">
        <v>395</v>
      </c>
      <c r="D171" s="0" t="s">
        <v>310</v>
      </c>
      <c r="E171" s="0" t="s">
        <v>388</v>
      </c>
      <c r="F171" s="1" t="s">
        <v>15</v>
      </c>
      <c r="G171" s="0" t="s">
        <v>394</v>
      </c>
      <c r="H171" s="0" t="n">
        <v>7</v>
      </c>
      <c r="I171" s="0" t="s">
        <v>17</v>
      </c>
      <c r="J171" s="0" t="s">
        <v>290</v>
      </c>
    </row>
    <row r="172" customFormat="false" ht="12.5" hidden="false" customHeight="false" outlineLevel="0" collapsed="false">
      <c r="A172" s="5" t="s">
        <v>42</v>
      </c>
      <c r="B172" s="0" t="s">
        <v>396</v>
      </c>
      <c r="C172" s="0" t="s">
        <v>387</v>
      </c>
      <c r="D172" s="0" t="s">
        <v>310</v>
      </c>
      <c r="E172" s="0" t="s">
        <v>388</v>
      </c>
      <c r="F172" s="1" t="s">
        <v>21</v>
      </c>
      <c r="G172" s="0" t="s">
        <v>403</v>
      </c>
      <c r="H172" s="0" t="n">
        <v>8</v>
      </c>
      <c r="I172" s="0" t="s">
        <v>17</v>
      </c>
      <c r="J172" s="0" t="s">
        <v>290</v>
      </c>
    </row>
    <row r="173" customFormat="false" ht="12.5" hidden="false" customHeight="false" outlineLevel="0" collapsed="false">
      <c r="A173" s="5" t="s">
        <v>42</v>
      </c>
      <c r="B173" s="0" t="s">
        <v>386</v>
      </c>
      <c r="C173" s="0" t="s">
        <v>391</v>
      </c>
      <c r="D173" s="0" t="s">
        <v>310</v>
      </c>
      <c r="E173" s="0" t="s">
        <v>388</v>
      </c>
      <c r="F173" s="1" t="s">
        <v>365</v>
      </c>
      <c r="G173" s="0" t="s">
        <v>389</v>
      </c>
      <c r="H173" s="0" t="n">
        <v>8</v>
      </c>
      <c r="I173" s="0" t="s">
        <v>17</v>
      </c>
      <c r="J173" s="0" t="s">
        <v>290</v>
      </c>
    </row>
    <row r="174" customFormat="false" ht="12.5" hidden="false" customHeight="false" outlineLevel="0" collapsed="false">
      <c r="A174" s="5" t="s">
        <v>42</v>
      </c>
      <c r="B174" s="0" t="s">
        <v>393</v>
      </c>
      <c r="C174" s="0" t="s">
        <v>390</v>
      </c>
      <c r="D174" s="0" t="s">
        <v>310</v>
      </c>
      <c r="E174" s="0" t="s">
        <v>388</v>
      </c>
      <c r="F174" s="1" t="s">
        <v>15</v>
      </c>
      <c r="G174" s="0" t="s">
        <v>394</v>
      </c>
      <c r="H174" s="0" t="n">
        <v>8</v>
      </c>
      <c r="I174" s="0" t="s">
        <v>17</v>
      </c>
      <c r="J174" s="0" t="s">
        <v>290</v>
      </c>
    </row>
    <row r="175" customFormat="false" ht="12.5" hidden="false" customHeight="false" outlineLevel="0" collapsed="false">
      <c r="A175" s="5" t="s">
        <v>42</v>
      </c>
      <c r="B175" s="0" t="s">
        <v>398</v>
      </c>
      <c r="C175" s="0" t="s">
        <v>292</v>
      </c>
      <c r="D175" s="0" t="s">
        <v>310</v>
      </c>
      <c r="E175" s="0" t="s">
        <v>388</v>
      </c>
      <c r="F175" s="1" t="s">
        <v>25</v>
      </c>
      <c r="G175" s="0" t="s">
        <v>400</v>
      </c>
      <c r="H175" s="0" t="n">
        <v>8</v>
      </c>
      <c r="I175" s="0" t="s">
        <v>17</v>
      </c>
      <c r="J175" s="0" t="s">
        <v>290</v>
      </c>
    </row>
    <row r="176" customFormat="false" ht="12.5" hidden="false" customHeight="false" outlineLevel="0" collapsed="false">
      <c r="A176" s="5" t="s">
        <v>42</v>
      </c>
      <c r="B176" s="0" t="s">
        <v>395</v>
      </c>
      <c r="C176" s="0" t="s">
        <v>399</v>
      </c>
      <c r="D176" s="0" t="s">
        <v>310</v>
      </c>
      <c r="E176" s="0" t="s">
        <v>388</v>
      </c>
      <c r="F176" s="1" t="s">
        <v>21</v>
      </c>
      <c r="G176" s="0" t="s">
        <v>397</v>
      </c>
      <c r="H176" s="0" t="n">
        <v>8</v>
      </c>
      <c r="I176" s="0" t="s">
        <v>17</v>
      </c>
      <c r="J176" s="0" t="s">
        <v>290</v>
      </c>
    </row>
    <row r="177" customFormat="false" ht="12.5" hidden="false" customHeight="false" outlineLevel="0" collapsed="false">
      <c r="A177" s="5" t="s">
        <v>43</v>
      </c>
      <c r="B177" s="0" t="s">
        <v>292</v>
      </c>
      <c r="C177" s="0" t="s">
        <v>386</v>
      </c>
      <c r="D177" s="0" t="s">
        <v>310</v>
      </c>
      <c r="E177" s="0" t="s">
        <v>388</v>
      </c>
      <c r="F177" s="1" t="s">
        <v>15</v>
      </c>
      <c r="G177" s="0" t="s">
        <v>401</v>
      </c>
      <c r="H177" s="0" t="n">
        <v>9</v>
      </c>
      <c r="I177" s="0" t="s">
        <v>17</v>
      </c>
      <c r="J177" s="0" t="s">
        <v>290</v>
      </c>
    </row>
    <row r="178" customFormat="false" ht="12.5" hidden="false" customHeight="false" outlineLevel="0" collapsed="false">
      <c r="A178" s="5" t="s">
        <v>43</v>
      </c>
      <c r="B178" s="0" t="s">
        <v>399</v>
      </c>
      <c r="C178" s="0" t="s">
        <v>396</v>
      </c>
      <c r="D178" s="0" t="s">
        <v>310</v>
      </c>
      <c r="E178" s="0" t="s">
        <v>388</v>
      </c>
      <c r="F178" s="1" t="s">
        <v>31</v>
      </c>
      <c r="G178" s="0" t="s">
        <v>402</v>
      </c>
      <c r="H178" s="0" t="n">
        <v>9</v>
      </c>
      <c r="I178" s="0" t="s">
        <v>17</v>
      </c>
      <c r="J178" s="0" t="s">
        <v>290</v>
      </c>
    </row>
    <row r="179" customFormat="false" ht="12.5" hidden="false" customHeight="false" outlineLevel="0" collapsed="false">
      <c r="A179" s="5" t="s">
        <v>43</v>
      </c>
      <c r="B179" s="0" t="s">
        <v>387</v>
      </c>
      <c r="C179" s="0" t="s">
        <v>398</v>
      </c>
      <c r="D179" s="0" t="s">
        <v>310</v>
      </c>
      <c r="E179" s="0" t="s">
        <v>388</v>
      </c>
      <c r="F179" s="1" t="s">
        <v>404</v>
      </c>
      <c r="G179" s="0" t="s">
        <v>405</v>
      </c>
      <c r="H179" s="0" t="n">
        <v>9</v>
      </c>
      <c r="I179" s="0" t="s">
        <v>17</v>
      </c>
      <c r="J179" s="0" t="s">
        <v>290</v>
      </c>
    </row>
    <row r="180" customFormat="false" ht="12.5" hidden="false" customHeight="false" outlineLevel="0" collapsed="false">
      <c r="A180" s="5" t="s">
        <v>43</v>
      </c>
      <c r="B180" s="0" t="s">
        <v>391</v>
      </c>
      <c r="C180" s="0" t="s">
        <v>393</v>
      </c>
      <c r="D180" s="0" t="s">
        <v>310</v>
      </c>
      <c r="E180" s="0" t="s">
        <v>388</v>
      </c>
      <c r="F180" s="1" t="s">
        <v>89</v>
      </c>
      <c r="G180" s="0" t="s">
        <v>406</v>
      </c>
      <c r="H180" s="0" t="n">
        <v>9</v>
      </c>
      <c r="I180" s="0" t="s">
        <v>17</v>
      </c>
      <c r="J180" s="0" t="s">
        <v>290</v>
      </c>
    </row>
    <row r="181" customFormat="false" ht="12.5" hidden="false" customHeight="false" outlineLevel="0" collapsed="false">
      <c r="A181" s="5" t="s">
        <v>43</v>
      </c>
      <c r="B181" s="0" t="s">
        <v>390</v>
      </c>
      <c r="C181" s="0" t="s">
        <v>395</v>
      </c>
      <c r="D181" s="0" t="s">
        <v>310</v>
      </c>
      <c r="E181" s="0" t="s">
        <v>388</v>
      </c>
      <c r="F181" s="1" t="s">
        <v>89</v>
      </c>
      <c r="G181" s="0" t="s">
        <v>392</v>
      </c>
      <c r="H181" s="0" t="n">
        <v>9</v>
      </c>
      <c r="I181" s="0" t="s">
        <v>17</v>
      </c>
      <c r="J181" s="0" t="s">
        <v>290</v>
      </c>
    </row>
    <row r="182" customFormat="false" ht="12.5" hidden="false" customHeight="false" outlineLevel="0" collapsed="false">
      <c r="A182" s="5" t="s">
        <v>10</v>
      </c>
      <c r="B182" s="0" t="s">
        <v>298</v>
      </c>
      <c r="C182" s="0" t="s">
        <v>407</v>
      </c>
      <c r="D182" s="0" t="s">
        <v>310</v>
      </c>
      <c r="E182" s="0" t="s">
        <v>408</v>
      </c>
      <c r="F182" s="1" t="s">
        <v>409</v>
      </c>
      <c r="G182" s="0" t="s">
        <v>410</v>
      </c>
      <c r="H182" s="0" t="n">
        <v>1</v>
      </c>
      <c r="I182" s="0" t="s">
        <v>204</v>
      </c>
      <c r="J182" s="0" t="s">
        <v>290</v>
      </c>
    </row>
    <row r="183" customFormat="false" ht="12.5" hidden="false" customHeight="false" outlineLevel="0" collapsed="false">
      <c r="A183" s="5" t="s">
        <v>10</v>
      </c>
      <c r="B183" s="0" t="s">
        <v>411</v>
      </c>
      <c r="C183" s="0" t="s">
        <v>412</v>
      </c>
      <c r="D183" s="0" t="s">
        <v>310</v>
      </c>
      <c r="E183" s="0" t="s">
        <v>408</v>
      </c>
      <c r="F183" s="1" t="s">
        <v>404</v>
      </c>
      <c r="G183" s="0" t="s">
        <v>405</v>
      </c>
      <c r="H183" s="0" t="n">
        <v>1</v>
      </c>
      <c r="I183" s="0" t="s">
        <v>204</v>
      </c>
      <c r="J183" s="0" t="s">
        <v>290</v>
      </c>
    </row>
    <row r="184" customFormat="false" ht="12.5" hidden="false" customHeight="false" outlineLevel="0" collapsed="false">
      <c r="A184" s="5" t="s">
        <v>10</v>
      </c>
      <c r="B184" s="0" t="s">
        <v>413</v>
      </c>
      <c r="C184" s="0" t="s">
        <v>414</v>
      </c>
      <c r="D184" s="0" t="s">
        <v>310</v>
      </c>
      <c r="E184" s="0" t="s">
        <v>408</v>
      </c>
      <c r="F184" s="1" t="s">
        <v>89</v>
      </c>
      <c r="G184" s="0" t="s">
        <v>415</v>
      </c>
      <c r="H184" s="0" t="n">
        <v>1</v>
      </c>
      <c r="I184" s="0" t="s">
        <v>204</v>
      </c>
      <c r="J184" s="0" t="s">
        <v>290</v>
      </c>
    </row>
    <row r="185" customFormat="false" ht="12.5" hidden="false" customHeight="false" outlineLevel="0" collapsed="false">
      <c r="A185" s="5" t="s">
        <v>10</v>
      </c>
      <c r="B185" s="0" t="s">
        <v>416</v>
      </c>
      <c r="C185" s="0" t="s">
        <v>417</v>
      </c>
      <c r="D185" s="0" t="s">
        <v>310</v>
      </c>
      <c r="E185" s="0" t="s">
        <v>408</v>
      </c>
      <c r="F185" s="1" t="s">
        <v>31</v>
      </c>
      <c r="G185" s="0" t="s">
        <v>418</v>
      </c>
      <c r="H185" s="0" t="n">
        <v>1</v>
      </c>
      <c r="I185" s="0" t="s">
        <v>204</v>
      </c>
      <c r="J185" s="0" t="s">
        <v>290</v>
      </c>
    </row>
    <row r="186" customFormat="false" ht="12.5" hidden="false" customHeight="false" outlineLevel="0" collapsed="false">
      <c r="A186" s="5" t="s">
        <v>419</v>
      </c>
      <c r="B186" s="0" t="s">
        <v>420</v>
      </c>
      <c r="C186" s="0" t="s">
        <v>421</v>
      </c>
      <c r="D186" s="0" t="s">
        <v>310</v>
      </c>
      <c r="E186" s="0" t="s">
        <v>408</v>
      </c>
      <c r="F186" s="1" t="s">
        <v>422</v>
      </c>
      <c r="G186" s="0" t="s">
        <v>423</v>
      </c>
      <c r="H186" s="0" t="n">
        <v>1</v>
      </c>
      <c r="I186" s="0" t="s">
        <v>204</v>
      </c>
      <c r="J186" s="0" t="s">
        <v>290</v>
      </c>
    </row>
    <row r="187" customFormat="false" ht="12.5" hidden="false" customHeight="false" outlineLevel="0" collapsed="false">
      <c r="A187" s="5" t="s">
        <v>32</v>
      </c>
      <c r="B187" s="0" t="s">
        <v>407</v>
      </c>
      <c r="C187" s="0" t="s">
        <v>413</v>
      </c>
      <c r="D187" s="0" t="s">
        <v>310</v>
      </c>
      <c r="E187" s="0" t="s">
        <v>408</v>
      </c>
      <c r="F187" s="1" t="s">
        <v>48</v>
      </c>
      <c r="G187" s="0" t="s">
        <v>424</v>
      </c>
      <c r="H187" s="0" t="n">
        <v>2</v>
      </c>
      <c r="I187" s="0" t="s">
        <v>204</v>
      </c>
      <c r="J187" s="0" t="s">
        <v>290</v>
      </c>
    </row>
    <row r="188" customFormat="false" ht="12.5" hidden="false" customHeight="false" outlineLevel="0" collapsed="false">
      <c r="A188" s="5" t="s">
        <v>32</v>
      </c>
      <c r="B188" s="0" t="s">
        <v>414</v>
      </c>
      <c r="C188" s="0" t="s">
        <v>420</v>
      </c>
      <c r="D188" s="0" t="s">
        <v>310</v>
      </c>
      <c r="E188" s="0" t="s">
        <v>408</v>
      </c>
      <c r="F188" s="1" t="s">
        <v>21</v>
      </c>
      <c r="G188" s="0" t="s">
        <v>425</v>
      </c>
      <c r="H188" s="0" t="n">
        <v>2</v>
      </c>
      <c r="I188" s="0" t="s">
        <v>204</v>
      </c>
      <c r="J188" s="0" t="s">
        <v>290</v>
      </c>
    </row>
    <row r="189" customFormat="false" ht="12.5" hidden="false" customHeight="false" outlineLevel="0" collapsed="false">
      <c r="A189" s="5" t="s">
        <v>32</v>
      </c>
      <c r="B189" s="0" t="s">
        <v>417</v>
      </c>
      <c r="C189" s="0" t="s">
        <v>298</v>
      </c>
      <c r="D189" s="0" t="s">
        <v>310</v>
      </c>
      <c r="E189" s="0" t="s">
        <v>408</v>
      </c>
      <c r="F189" s="1" t="s">
        <v>426</v>
      </c>
      <c r="G189" s="0" t="s">
        <v>427</v>
      </c>
      <c r="H189" s="0" t="n">
        <v>2</v>
      </c>
      <c r="I189" s="0" t="s">
        <v>204</v>
      </c>
      <c r="J189" s="0" t="s">
        <v>290</v>
      </c>
    </row>
    <row r="190" customFormat="false" ht="12.5" hidden="false" customHeight="false" outlineLevel="0" collapsed="false">
      <c r="A190" s="5" t="s">
        <v>32</v>
      </c>
      <c r="B190" s="0" t="s">
        <v>412</v>
      </c>
      <c r="C190" s="0" t="s">
        <v>416</v>
      </c>
      <c r="D190" s="0" t="s">
        <v>310</v>
      </c>
      <c r="E190" s="0" t="s">
        <v>408</v>
      </c>
      <c r="F190" s="1" t="s">
        <v>25</v>
      </c>
      <c r="G190" s="0" t="s">
        <v>428</v>
      </c>
      <c r="H190" s="0" t="n">
        <v>2</v>
      </c>
      <c r="I190" s="0" t="s">
        <v>204</v>
      </c>
      <c r="J190" s="0" t="s">
        <v>290</v>
      </c>
    </row>
    <row r="191" customFormat="false" ht="12.5" hidden="false" customHeight="false" outlineLevel="0" collapsed="false">
      <c r="A191" s="5" t="s">
        <v>429</v>
      </c>
      <c r="B191" s="0" t="s">
        <v>421</v>
      </c>
      <c r="C191" s="0" t="s">
        <v>411</v>
      </c>
      <c r="D191" s="0" t="s">
        <v>310</v>
      </c>
      <c r="E191" s="0" t="s">
        <v>408</v>
      </c>
      <c r="F191" s="1" t="s">
        <v>430</v>
      </c>
      <c r="G191" s="0" t="s">
        <v>431</v>
      </c>
      <c r="H191" s="0" t="n">
        <v>2</v>
      </c>
      <c r="I191" s="0" t="s">
        <v>204</v>
      </c>
      <c r="J191" s="0" t="s">
        <v>290</v>
      </c>
    </row>
    <row r="192" customFormat="false" ht="12.5" hidden="false" customHeight="false" outlineLevel="0" collapsed="false">
      <c r="A192" s="5" t="s">
        <v>38</v>
      </c>
      <c r="B192" s="0" t="s">
        <v>416</v>
      </c>
      <c r="C192" s="0" t="s">
        <v>421</v>
      </c>
      <c r="D192" s="0" t="s">
        <v>310</v>
      </c>
      <c r="E192" s="0" t="s">
        <v>408</v>
      </c>
      <c r="F192" s="1" t="s">
        <v>31</v>
      </c>
      <c r="G192" s="0" t="s">
        <v>418</v>
      </c>
      <c r="H192" s="0" t="n">
        <v>3</v>
      </c>
      <c r="I192" s="0" t="s">
        <v>204</v>
      </c>
      <c r="J192" s="0" t="s">
        <v>290</v>
      </c>
    </row>
    <row r="193" customFormat="false" ht="12.5" hidden="false" customHeight="false" outlineLevel="0" collapsed="false">
      <c r="A193" s="5" t="s">
        <v>38</v>
      </c>
      <c r="B193" s="0" t="s">
        <v>298</v>
      </c>
      <c r="C193" s="0" t="s">
        <v>412</v>
      </c>
      <c r="D193" s="0" t="s">
        <v>310</v>
      </c>
      <c r="E193" s="0" t="s">
        <v>408</v>
      </c>
      <c r="F193" s="1" t="s">
        <v>409</v>
      </c>
      <c r="G193" s="0" t="s">
        <v>410</v>
      </c>
      <c r="H193" s="0" t="n">
        <v>3</v>
      </c>
      <c r="I193" s="0" t="s">
        <v>204</v>
      </c>
      <c r="J193" s="0" t="s">
        <v>290</v>
      </c>
    </row>
    <row r="194" customFormat="false" ht="12.5" hidden="false" customHeight="false" outlineLevel="0" collapsed="false">
      <c r="A194" s="5" t="s">
        <v>38</v>
      </c>
      <c r="B194" s="0" t="s">
        <v>411</v>
      </c>
      <c r="C194" s="0" t="s">
        <v>414</v>
      </c>
      <c r="D194" s="0" t="s">
        <v>310</v>
      </c>
      <c r="E194" s="0" t="s">
        <v>408</v>
      </c>
      <c r="F194" s="1" t="s">
        <v>404</v>
      </c>
      <c r="G194" s="0" t="s">
        <v>405</v>
      </c>
      <c r="H194" s="0" t="n">
        <v>3</v>
      </c>
      <c r="I194" s="0" t="s">
        <v>204</v>
      </c>
      <c r="J194" s="0" t="s">
        <v>290</v>
      </c>
    </row>
    <row r="195" customFormat="false" ht="12.5" hidden="false" customHeight="false" outlineLevel="0" collapsed="false">
      <c r="A195" s="5" t="s">
        <v>38</v>
      </c>
      <c r="B195" s="0" t="s">
        <v>407</v>
      </c>
      <c r="C195" s="0" t="s">
        <v>417</v>
      </c>
      <c r="D195" s="0" t="s">
        <v>310</v>
      </c>
      <c r="E195" s="0" t="s">
        <v>408</v>
      </c>
      <c r="F195" s="1" t="s">
        <v>48</v>
      </c>
      <c r="G195" s="0" t="s">
        <v>424</v>
      </c>
      <c r="H195" s="0" t="n">
        <v>3</v>
      </c>
      <c r="I195" s="0" t="s">
        <v>204</v>
      </c>
      <c r="J195" s="0" t="s">
        <v>290</v>
      </c>
    </row>
    <row r="196" customFormat="false" ht="12.5" hidden="false" customHeight="false" outlineLevel="0" collapsed="false">
      <c r="A196" s="5" t="s">
        <v>432</v>
      </c>
      <c r="B196" s="0" t="s">
        <v>420</v>
      </c>
      <c r="C196" s="0" t="s">
        <v>413</v>
      </c>
      <c r="D196" s="0" t="s">
        <v>310</v>
      </c>
      <c r="E196" s="0" t="s">
        <v>408</v>
      </c>
      <c r="F196" s="1" t="s">
        <v>422</v>
      </c>
      <c r="G196" s="0" t="s">
        <v>423</v>
      </c>
      <c r="H196" s="0" t="n">
        <v>3</v>
      </c>
      <c r="I196" s="0" t="s">
        <v>204</v>
      </c>
      <c r="J196" s="0" t="s">
        <v>290</v>
      </c>
    </row>
    <row r="197" customFormat="false" ht="12.5" hidden="false" customHeight="false" outlineLevel="0" collapsed="false">
      <c r="A197" s="5" t="n">
        <v>46082</v>
      </c>
      <c r="B197" s="0" t="s">
        <v>420</v>
      </c>
      <c r="C197" s="0" t="s">
        <v>411</v>
      </c>
      <c r="D197" s="0" t="s">
        <v>310</v>
      </c>
      <c r="E197" s="0" t="s">
        <v>408</v>
      </c>
      <c r="F197" s="1" t="s">
        <v>422</v>
      </c>
      <c r="G197" s="0" t="s">
        <v>423</v>
      </c>
      <c r="H197" s="0" t="n">
        <v>4</v>
      </c>
      <c r="I197" s="0" t="s">
        <v>204</v>
      </c>
      <c r="J197" s="0" t="s">
        <v>290</v>
      </c>
    </row>
    <row r="198" customFormat="false" ht="12.5" hidden="false" customHeight="false" outlineLevel="0" collapsed="false">
      <c r="A198" s="5" t="n">
        <v>46082</v>
      </c>
      <c r="B198" s="0" t="s">
        <v>421</v>
      </c>
      <c r="C198" s="0" t="s">
        <v>298</v>
      </c>
      <c r="D198" s="0" t="s">
        <v>310</v>
      </c>
      <c r="E198" s="0" t="s">
        <v>408</v>
      </c>
      <c r="F198" s="1" t="s">
        <v>430</v>
      </c>
      <c r="G198" s="0" t="s">
        <v>431</v>
      </c>
      <c r="H198" s="0" t="n">
        <v>4</v>
      </c>
      <c r="I198" s="0" t="s">
        <v>204</v>
      </c>
      <c r="J198" s="0" t="s">
        <v>290</v>
      </c>
    </row>
    <row r="199" customFormat="false" ht="12.5" hidden="false" customHeight="false" outlineLevel="0" collapsed="false">
      <c r="A199" s="5" t="s">
        <v>39</v>
      </c>
      <c r="B199" s="0" t="s">
        <v>412</v>
      </c>
      <c r="C199" s="0" t="s">
        <v>407</v>
      </c>
      <c r="D199" s="0" t="s">
        <v>310</v>
      </c>
      <c r="E199" s="0" t="s">
        <v>408</v>
      </c>
      <c r="F199" s="1" t="s">
        <v>25</v>
      </c>
      <c r="G199" s="0" t="s">
        <v>428</v>
      </c>
      <c r="H199" s="0" t="n">
        <v>4</v>
      </c>
      <c r="I199" s="0" t="s">
        <v>204</v>
      </c>
      <c r="J199" s="0" t="s">
        <v>290</v>
      </c>
    </row>
    <row r="200" customFormat="false" ht="12.5" hidden="false" customHeight="false" outlineLevel="0" collapsed="false">
      <c r="A200" s="5" t="s">
        <v>39</v>
      </c>
      <c r="B200" s="0" t="s">
        <v>413</v>
      </c>
      <c r="C200" s="0" t="s">
        <v>417</v>
      </c>
      <c r="D200" s="0" t="s">
        <v>310</v>
      </c>
      <c r="E200" s="0" t="s">
        <v>408</v>
      </c>
      <c r="F200" s="1" t="s">
        <v>89</v>
      </c>
      <c r="G200" s="0" t="s">
        <v>415</v>
      </c>
      <c r="H200" s="0" t="n">
        <v>4</v>
      </c>
      <c r="I200" s="0" t="s">
        <v>204</v>
      </c>
      <c r="J200" s="0" t="s">
        <v>290</v>
      </c>
    </row>
    <row r="201" customFormat="false" ht="12.5" hidden="false" customHeight="false" outlineLevel="0" collapsed="false">
      <c r="A201" s="5" t="s">
        <v>39</v>
      </c>
      <c r="B201" s="0" t="s">
        <v>414</v>
      </c>
      <c r="C201" s="0" t="s">
        <v>416</v>
      </c>
      <c r="D201" s="0" t="s">
        <v>310</v>
      </c>
      <c r="E201" s="0" t="s">
        <v>408</v>
      </c>
      <c r="F201" s="1" t="s">
        <v>21</v>
      </c>
      <c r="G201" s="0" t="s">
        <v>425</v>
      </c>
      <c r="H201" s="0" t="n">
        <v>4</v>
      </c>
      <c r="I201" s="0" t="s">
        <v>204</v>
      </c>
      <c r="J201" s="0" t="s">
        <v>290</v>
      </c>
    </row>
    <row r="202" customFormat="false" ht="12.5" hidden="false" customHeight="false" outlineLevel="0" collapsed="false">
      <c r="A202" s="5" t="s">
        <v>40</v>
      </c>
      <c r="B202" s="0" t="s">
        <v>411</v>
      </c>
      <c r="C202" s="0" t="s">
        <v>413</v>
      </c>
      <c r="D202" s="0" t="s">
        <v>310</v>
      </c>
      <c r="E202" s="0" t="s">
        <v>408</v>
      </c>
      <c r="F202" s="1" t="s">
        <v>404</v>
      </c>
      <c r="G202" s="0" t="s">
        <v>405</v>
      </c>
      <c r="H202" s="0" t="n">
        <v>5</v>
      </c>
      <c r="I202" s="0" t="s">
        <v>204</v>
      </c>
      <c r="J202" s="0" t="s">
        <v>290</v>
      </c>
    </row>
    <row r="203" customFormat="false" ht="12.5" hidden="false" customHeight="false" outlineLevel="0" collapsed="false">
      <c r="A203" s="5" t="s">
        <v>40</v>
      </c>
      <c r="B203" s="0" t="s">
        <v>407</v>
      </c>
      <c r="C203" s="0" t="s">
        <v>421</v>
      </c>
      <c r="D203" s="0" t="s">
        <v>310</v>
      </c>
      <c r="E203" s="0" t="s">
        <v>408</v>
      </c>
      <c r="F203" s="1" t="s">
        <v>48</v>
      </c>
      <c r="G203" s="0" t="s">
        <v>424</v>
      </c>
      <c r="H203" s="0" t="n">
        <v>5</v>
      </c>
      <c r="I203" s="0" t="s">
        <v>204</v>
      </c>
      <c r="J203" s="0" t="s">
        <v>290</v>
      </c>
    </row>
    <row r="204" customFormat="false" ht="12.5" hidden="false" customHeight="false" outlineLevel="0" collapsed="false">
      <c r="A204" s="5" t="s">
        <v>40</v>
      </c>
      <c r="B204" s="0" t="s">
        <v>417</v>
      </c>
      <c r="C204" s="0" t="s">
        <v>412</v>
      </c>
      <c r="D204" s="0" t="s">
        <v>310</v>
      </c>
      <c r="E204" s="0" t="s">
        <v>408</v>
      </c>
      <c r="F204" s="1" t="s">
        <v>426</v>
      </c>
      <c r="G204" s="0" t="s">
        <v>427</v>
      </c>
      <c r="H204" s="0" t="n">
        <v>5</v>
      </c>
      <c r="I204" s="0" t="s">
        <v>204</v>
      </c>
      <c r="J204" s="0" t="s">
        <v>290</v>
      </c>
    </row>
    <row r="205" customFormat="false" ht="12.5" hidden="false" customHeight="false" outlineLevel="0" collapsed="false">
      <c r="A205" s="5" t="s">
        <v>40</v>
      </c>
      <c r="B205" s="0" t="s">
        <v>416</v>
      </c>
      <c r="C205" s="0" t="s">
        <v>420</v>
      </c>
      <c r="D205" s="0" t="s">
        <v>310</v>
      </c>
      <c r="E205" s="0" t="s">
        <v>408</v>
      </c>
      <c r="F205" s="1" t="s">
        <v>31</v>
      </c>
      <c r="G205" s="0" t="s">
        <v>418</v>
      </c>
      <c r="H205" s="0" t="n">
        <v>5</v>
      </c>
      <c r="I205" s="0" t="s">
        <v>204</v>
      </c>
      <c r="J205" s="0" t="s">
        <v>290</v>
      </c>
    </row>
    <row r="206" customFormat="false" ht="12.5" hidden="false" customHeight="false" outlineLevel="0" collapsed="false">
      <c r="A206" s="5" t="s">
        <v>40</v>
      </c>
      <c r="B206" s="0" t="s">
        <v>298</v>
      </c>
      <c r="C206" s="0" t="s">
        <v>414</v>
      </c>
      <c r="D206" s="0" t="s">
        <v>310</v>
      </c>
      <c r="E206" s="0" t="s">
        <v>408</v>
      </c>
      <c r="F206" s="1" t="s">
        <v>409</v>
      </c>
      <c r="G206" s="0" t="s">
        <v>410</v>
      </c>
      <c r="H206" s="0" t="n">
        <v>5</v>
      </c>
      <c r="I206" s="0" t="s">
        <v>204</v>
      </c>
      <c r="J206" s="0" t="s">
        <v>290</v>
      </c>
    </row>
    <row r="207" customFormat="false" ht="12.5" hidden="false" customHeight="false" outlineLevel="0" collapsed="false">
      <c r="A207" s="5" t="s">
        <v>41</v>
      </c>
      <c r="B207" s="0" t="s">
        <v>414</v>
      </c>
      <c r="C207" s="0" t="s">
        <v>407</v>
      </c>
      <c r="D207" s="0" t="s">
        <v>310</v>
      </c>
      <c r="E207" s="0" t="s">
        <v>408</v>
      </c>
      <c r="F207" s="1" t="s">
        <v>21</v>
      </c>
      <c r="G207" s="0" t="s">
        <v>425</v>
      </c>
      <c r="H207" s="0" t="n">
        <v>6</v>
      </c>
      <c r="I207" s="0" t="s">
        <v>204</v>
      </c>
      <c r="J207" s="0" t="s">
        <v>290</v>
      </c>
    </row>
    <row r="208" customFormat="false" ht="12.5" hidden="false" customHeight="false" outlineLevel="0" collapsed="false">
      <c r="A208" s="5" t="s">
        <v>41</v>
      </c>
      <c r="B208" s="0" t="s">
        <v>413</v>
      </c>
      <c r="C208" s="0" t="s">
        <v>412</v>
      </c>
      <c r="D208" s="0" t="s">
        <v>310</v>
      </c>
      <c r="E208" s="0" t="s">
        <v>408</v>
      </c>
      <c r="F208" s="1" t="s">
        <v>89</v>
      </c>
      <c r="G208" s="0" t="s">
        <v>415</v>
      </c>
      <c r="H208" s="0" t="n">
        <v>6</v>
      </c>
      <c r="I208" s="0" t="s">
        <v>204</v>
      </c>
      <c r="J208" s="0" t="s">
        <v>290</v>
      </c>
    </row>
    <row r="209" customFormat="false" ht="12.5" hidden="false" customHeight="false" outlineLevel="0" collapsed="false">
      <c r="A209" s="5" t="s">
        <v>41</v>
      </c>
      <c r="B209" s="0" t="s">
        <v>411</v>
      </c>
      <c r="C209" s="0" t="s">
        <v>416</v>
      </c>
      <c r="D209" s="0" t="s">
        <v>310</v>
      </c>
      <c r="E209" s="0" t="s">
        <v>408</v>
      </c>
      <c r="F209" s="1" t="s">
        <v>404</v>
      </c>
      <c r="G209" s="0" t="s">
        <v>405</v>
      </c>
      <c r="H209" s="0" t="n">
        <v>6</v>
      </c>
      <c r="I209" s="0" t="s">
        <v>204</v>
      </c>
      <c r="J209" s="0" t="s">
        <v>290</v>
      </c>
    </row>
    <row r="210" customFormat="false" ht="12.5" hidden="false" customHeight="false" outlineLevel="0" collapsed="false">
      <c r="A210" s="5" t="s">
        <v>91</v>
      </c>
      <c r="B210" s="0" t="s">
        <v>420</v>
      </c>
      <c r="C210" s="0" t="s">
        <v>298</v>
      </c>
      <c r="D210" s="0" t="s">
        <v>310</v>
      </c>
      <c r="E210" s="0" t="s">
        <v>408</v>
      </c>
      <c r="F210" s="1" t="s">
        <v>422</v>
      </c>
      <c r="G210" s="0" t="s">
        <v>423</v>
      </c>
      <c r="H210" s="0" t="n">
        <v>6</v>
      </c>
      <c r="I210" s="0" t="s">
        <v>204</v>
      </c>
      <c r="J210" s="0" t="s">
        <v>290</v>
      </c>
    </row>
    <row r="211" customFormat="false" ht="12.5" hidden="false" customHeight="false" outlineLevel="0" collapsed="false">
      <c r="A211" s="5" t="s">
        <v>91</v>
      </c>
      <c r="B211" s="0" t="s">
        <v>421</v>
      </c>
      <c r="C211" s="0" t="s">
        <v>417</v>
      </c>
      <c r="D211" s="0" t="s">
        <v>310</v>
      </c>
      <c r="E211" s="0" t="s">
        <v>408</v>
      </c>
      <c r="F211" s="1" t="s">
        <v>430</v>
      </c>
      <c r="G211" s="0" t="s">
        <v>431</v>
      </c>
      <c r="H211" s="0" t="n">
        <v>6</v>
      </c>
      <c r="I211" s="0" t="s">
        <v>204</v>
      </c>
      <c r="J211" s="0" t="s">
        <v>290</v>
      </c>
    </row>
    <row r="212" customFormat="false" ht="12.5" hidden="false" customHeight="false" outlineLevel="0" collapsed="false">
      <c r="A212" s="5" t="s">
        <v>42</v>
      </c>
      <c r="B212" s="0" t="s">
        <v>411</v>
      </c>
      <c r="C212" s="0" t="s">
        <v>407</v>
      </c>
      <c r="D212" s="0" t="s">
        <v>310</v>
      </c>
      <c r="E212" s="0" t="s">
        <v>408</v>
      </c>
      <c r="F212" s="1" t="s">
        <v>404</v>
      </c>
      <c r="G212" s="0" t="s">
        <v>405</v>
      </c>
      <c r="H212" s="0" t="n">
        <v>7</v>
      </c>
      <c r="I212" s="0" t="s">
        <v>204</v>
      </c>
      <c r="J212" s="0" t="s">
        <v>290</v>
      </c>
    </row>
    <row r="213" customFormat="false" ht="12.5" hidden="false" customHeight="false" outlineLevel="0" collapsed="false">
      <c r="A213" s="5" t="s">
        <v>42</v>
      </c>
      <c r="B213" s="0" t="s">
        <v>416</v>
      </c>
      <c r="C213" s="0" t="s">
        <v>413</v>
      </c>
      <c r="D213" s="0" t="s">
        <v>310</v>
      </c>
      <c r="E213" s="0" t="s">
        <v>408</v>
      </c>
      <c r="F213" s="1" t="s">
        <v>31</v>
      </c>
      <c r="G213" s="0" t="s">
        <v>418</v>
      </c>
      <c r="H213" s="0" t="n">
        <v>7</v>
      </c>
      <c r="I213" s="0" t="s">
        <v>204</v>
      </c>
      <c r="J213" s="0" t="s">
        <v>290</v>
      </c>
    </row>
    <row r="214" customFormat="false" ht="12.5" hidden="false" customHeight="false" outlineLevel="0" collapsed="false">
      <c r="A214" s="5" t="s">
        <v>42</v>
      </c>
      <c r="B214" s="0" t="s">
        <v>412</v>
      </c>
      <c r="C214" s="0" t="s">
        <v>421</v>
      </c>
      <c r="D214" s="0" t="s">
        <v>310</v>
      </c>
      <c r="E214" s="0" t="s">
        <v>408</v>
      </c>
      <c r="F214" s="1" t="s">
        <v>25</v>
      </c>
      <c r="G214" s="0" t="s">
        <v>428</v>
      </c>
      <c r="H214" s="0" t="n">
        <v>7</v>
      </c>
      <c r="I214" s="0" t="s">
        <v>204</v>
      </c>
      <c r="J214" s="0" t="s">
        <v>290</v>
      </c>
    </row>
    <row r="215" customFormat="false" ht="12.5" hidden="false" customHeight="false" outlineLevel="0" collapsed="false">
      <c r="A215" s="5" t="s">
        <v>42</v>
      </c>
      <c r="B215" s="0" t="s">
        <v>407</v>
      </c>
      <c r="C215" s="0" t="s">
        <v>420</v>
      </c>
      <c r="D215" s="0" t="s">
        <v>310</v>
      </c>
      <c r="E215" s="0" t="s">
        <v>408</v>
      </c>
      <c r="F215" s="1" t="s">
        <v>48</v>
      </c>
      <c r="G215" s="0" t="s">
        <v>424</v>
      </c>
      <c r="H215" s="0" t="n">
        <v>7</v>
      </c>
      <c r="I215" s="0" t="s">
        <v>204</v>
      </c>
      <c r="J215" s="0" t="s">
        <v>290</v>
      </c>
    </row>
    <row r="216" customFormat="false" ht="12.5" hidden="false" customHeight="false" outlineLevel="0" collapsed="false">
      <c r="A216" s="5" t="s">
        <v>42</v>
      </c>
      <c r="B216" s="0" t="s">
        <v>417</v>
      </c>
      <c r="C216" s="0" t="s">
        <v>414</v>
      </c>
      <c r="D216" s="0" t="s">
        <v>310</v>
      </c>
      <c r="E216" s="0" t="s">
        <v>408</v>
      </c>
      <c r="F216" s="1" t="s">
        <v>426</v>
      </c>
      <c r="G216" s="0" t="s">
        <v>427</v>
      </c>
      <c r="H216" s="0" t="n">
        <v>7</v>
      </c>
      <c r="I216" s="0" t="s">
        <v>204</v>
      </c>
      <c r="J216" s="0" t="s">
        <v>290</v>
      </c>
    </row>
    <row r="217" customFormat="false" ht="12.5" hidden="false" customHeight="false" outlineLevel="0" collapsed="false">
      <c r="A217" s="5" t="s">
        <v>43</v>
      </c>
      <c r="B217" s="0" t="s">
        <v>411</v>
      </c>
      <c r="C217" s="0" t="s">
        <v>407</v>
      </c>
      <c r="D217" s="0" t="s">
        <v>310</v>
      </c>
      <c r="E217" s="0" t="s">
        <v>408</v>
      </c>
      <c r="F217" s="1" t="s">
        <v>404</v>
      </c>
      <c r="G217" s="0" t="s">
        <v>405</v>
      </c>
      <c r="H217" s="0" t="n">
        <v>8</v>
      </c>
      <c r="I217" s="0" t="s">
        <v>204</v>
      </c>
      <c r="J217" s="0" t="s">
        <v>290</v>
      </c>
    </row>
    <row r="218" customFormat="false" ht="12.5" hidden="false" customHeight="false" outlineLevel="0" collapsed="false">
      <c r="A218" s="5" t="s">
        <v>43</v>
      </c>
      <c r="B218" s="0" t="s">
        <v>413</v>
      </c>
      <c r="C218" s="0" t="s">
        <v>421</v>
      </c>
      <c r="D218" s="0" t="s">
        <v>310</v>
      </c>
      <c r="E218" s="0" t="s">
        <v>408</v>
      </c>
      <c r="F218" s="1" t="s">
        <v>89</v>
      </c>
      <c r="G218" s="0" t="s">
        <v>415</v>
      </c>
      <c r="H218" s="0" t="n">
        <v>8</v>
      </c>
      <c r="I218" s="0" t="s">
        <v>204</v>
      </c>
      <c r="J218" s="0" t="s">
        <v>290</v>
      </c>
    </row>
    <row r="219" customFormat="false" ht="12.5" hidden="false" customHeight="false" outlineLevel="0" collapsed="false">
      <c r="A219" s="5" t="s">
        <v>43</v>
      </c>
      <c r="B219" s="0" t="s">
        <v>414</v>
      </c>
      <c r="C219" s="0" t="s">
        <v>412</v>
      </c>
      <c r="D219" s="0" t="s">
        <v>310</v>
      </c>
      <c r="E219" s="0" t="s">
        <v>408</v>
      </c>
      <c r="F219" s="1" t="s">
        <v>21</v>
      </c>
      <c r="G219" s="0" t="s">
        <v>425</v>
      </c>
      <c r="H219" s="0" t="n">
        <v>8</v>
      </c>
      <c r="I219" s="0" t="s">
        <v>204</v>
      </c>
      <c r="J219" s="0" t="s">
        <v>290</v>
      </c>
    </row>
    <row r="220" customFormat="false" ht="12.5" hidden="false" customHeight="false" outlineLevel="0" collapsed="false">
      <c r="A220" s="5" t="s">
        <v>43</v>
      </c>
      <c r="B220" s="0" t="s">
        <v>416</v>
      </c>
      <c r="C220" s="0" t="s">
        <v>298</v>
      </c>
      <c r="D220" s="0" t="s">
        <v>310</v>
      </c>
      <c r="E220" s="0" t="s">
        <v>408</v>
      </c>
      <c r="F220" s="1" t="s">
        <v>31</v>
      </c>
      <c r="G220" s="0" t="s">
        <v>418</v>
      </c>
      <c r="H220" s="0" t="n">
        <v>8</v>
      </c>
      <c r="I220" s="0" t="s">
        <v>204</v>
      </c>
      <c r="J220" s="0" t="s">
        <v>290</v>
      </c>
    </row>
    <row r="221" customFormat="false" ht="12.5" hidden="false" customHeight="false" outlineLevel="0" collapsed="false">
      <c r="A221" s="5" t="s">
        <v>92</v>
      </c>
      <c r="B221" s="0" t="s">
        <v>420</v>
      </c>
      <c r="C221" s="0" t="s">
        <v>417</v>
      </c>
      <c r="D221" s="0" t="s">
        <v>310</v>
      </c>
      <c r="E221" s="0" t="s">
        <v>408</v>
      </c>
      <c r="F221" s="1" t="s">
        <v>422</v>
      </c>
      <c r="G221" s="0" t="s">
        <v>423</v>
      </c>
      <c r="H221" s="0" t="n">
        <v>8</v>
      </c>
      <c r="I221" s="0" t="s">
        <v>204</v>
      </c>
      <c r="J221" s="0" t="s">
        <v>290</v>
      </c>
    </row>
    <row r="222" customFormat="false" ht="12.5" hidden="false" customHeight="false" outlineLevel="0" collapsed="false">
      <c r="A222" s="5" t="s">
        <v>44</v>
      </c>
      <c r="B222" s="0" t="s">
        <v>417</v>
      </c>
      <c r="C222" s="0" t="s">
        <v>411</v>
      </c>
      <c r="D222" s="0" t="s">
        <v>310</v>
      </c>
      <c r="E222" s="0" t="s">
        <v>408</v>
      </c>
      <c r="F222" s="1" t="s">
        <v>426</v>
      </c>
      <c r="G222" s="0" t="s">
        <v>427</v>
      </c>
      <c r="H222" s="0" t="n">
        <v>9</v>
      </c>
      <c r="I222" s="0" t="s">
        <v>204</v>
      </c>
      <c r="J222" s="0" t="s">
        <v>290</v>
      </c>
    </row>
    <row r="223" customFormat="false" ht="12.5" hidden="false" customHeight="false" outlineLevel="0" collapsed="false">
      <c r="A223" s="5" t="s">
        <v>44</v>
      </c>
      <c r="B223" s="0" t="s">
        <v>298</v>
      </c>
      <c r="C223" s="0" t="s">
        <v>413</v>
      </c>
      <c r="D223" s="0" t="s">
        <v>310</v>
      </c>
      <c r="E223" s="0" t="s">
        <v>408</v>
      </c>
      <c r="F223" s="1" t="s">
        <v>409</v>
      </c>
      <c r="G223" s="0" t="s">
        <v>410</v>
      </c>
      <c r="H223" s="0" t="n">
        <v>9</v>
      </c>
      <c r="I223" s="0" t="s">
        <v>204</v>
      </c>
      <c r="J223" s="0" t="s">
        <v>290</v>
      </c>
    </row>
    <row r="224" customFormat="false" ht="12.5" hidden="false" customHeight="false" outlineLevel="0" collapsed="false">
      <c r="A224" s="5" t="s">
        <v>44</v>
      </c>
      <c r="B224" s="0" t="s">
        <v>412</v>
      </c>
      <c r="C224" s="0" t="s">
        <v>420</v>
      </c>
      <c r="D224" s="0" t="s">
        <v>310</v>
      </c>
      <c r="E224" s="0" t="s">
        <v>408</v>
      </c>
      <c r="F224" s="1" t="s">
        <v>25</v>
      </c>
      <c r="G224" s="0" t="s">
        <v>428</v>
      </c>
      <c r="H224" s="0" t="n">
        <v>9</v>
      </c>
      <c r="I224" s="0" t="s">
        <v>204</v>
      </c>
      <c r="J224" s="0" t="s">
        <v>290</v>
      </c>
    </row>
    <row r="225" customFormat="false" ht="12.5" hidden="false" customHeight="false" outlineLevel="0" collapsed="false">
      <c r="A225" s="5" t="s">
        <v>44</v>
      </c>
      <c r="B225" s="0" t="s">
        <v>407</v>
      </c>
      <c r="C225" s="0" t="s">
        <v>416</v>
      </c>
      <c r="D225" s="0" t="s">
        <v>310</v>
      </c>
      <c r="E225" s="0" t="s">
        <v>408</v>
      </c>
      <c r="F225" s="1" t="s">
        <v>48</v>
      </c>
      <c r="G225" s="0" t="s">
        <v>424</v>
      </c>
      <c r="H225" s="0" t="n">
        <v>9</v>
      </c>
      <c r="I225" s="0" t="s">
        <v>204</v>
      </c>
      <c r="J225" s="0" t="s">
        <v>290</v>
      </c>
    </row>
    <row r="226" customFormat="false" ht="12.5" hidden="false" customHeight="false" outlineLevel="0" collapsed="false">
      <c r="A226" s="5" t="s">
        <v>433</v>
      </c>
      <c r="B226" s="0" t="s">
        <v>421</v>
      </c>
      <c r="C226" s="0" t="s">
        <v>414</v>
      </c>
      <c r="D226" s="0" t="s">
        <v>310</v>
      </c>
      <c r="E226" s="0" t="s">
        <v>408</v>
      </c>
      <c r="F226" s="1" t="s">
        <v>430</v>
      </c>
      <c r="G226" s="0" t="s">
        <v>431</v>
      </c>
      <c r="H226" s="0" t="n">
        <v>9</v>
      </c>
      <c r="I226" s="0" t="s">
        <v>204</v>
      </c>
      <c r="J226" s="0" t="s">
        <v>290</v>
      </c>
    </row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98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179" activeCellId="0" sqref="A179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10.91"/>
    <col collapsed="false" customWidth="true" hidden="false" outlineLevel="0" max="2" min="2" style="0" width="21.22"/>
    <col collapsed="false" customWidth="true" hidden="false" outlineLevel="0" max="3" min="3" style="0" width="20.68"/>
    <col collapsed="false" customWidth="true" hidden="false" outlineLevel="0" max="4" min="4" style="0" width="14.01"/>
    <col collapsed="false" customWidth="true" hidden="false" outlineLevel="0" max="5" min="5" style="0" width="3.9"/>
    <col collapsed="false" customWidth="true" hidden="false" outlineLevel="0" max="6" min="6" style="0" width="6.91"/>
    <col collapsed="false" customWidth="true" hidden="false" outlineLevel="0" max="7" min="7" style="0" width="26.74"/>
    <col collapsed="false" customWidth="true" hidden="false" outlineLevel="0" max="8" min="8" style="0" width="8.36"/>
    <col collapsed="false" customWidth="true" hidden="false" outlineLevel="0" max="9" min="9" style="0" width="9.82"/>
    <col collapsed="false" customWidth="true" hidden="false" outlineLevel="0" max="10" min="10" style="0" width="11.38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4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10</v>
      </c>
      <c r="B2" s="0" t="s">
        <v>434</v>
      </c>
      <c r="C2" s="0" t="s">
        <v>435</v>
      </c>
      <c r="D2" s="0" t="s">
        <v>436</v>
      </c>
      <c r="E2" s="0" t="s">
        <v>364</v>
      </c>
      <c r="F2" s="1" t="s">
        <v>331</v>
      </c>
      <c r="G2" s="0" t="s">
        <v>437</v>
      </c>
      <c r="H2" s="0" t="n">
        <v>2</v>
      </c>
      <c r="I2" s="0" t="s">
        <v>438</v>
      </c>
      <c r="J2" s="0" t="s">
        <v>315</v>
      </c>
    </row>
    <row r="3" customFormat="false" ht="12.8" hidden="false" customHeight="false" outlineLevel="0" collapsed="false">
      <c r="A3" s="1" t="s">
        <v>10</v>
      </c>
      <c r="B3" s="0" t="s">
        <v>439</v>
      </c>
      <c r="C3" s="0" t="s">
        <v>440</v>
      </c>
      <c r="D3" s="0" t="s">
        <v>436</v>
      </c>
      <c r="E3" s="0" t="s">
        <v>364</v>
      </c>
      <c r="F3" s="1" t="s">
        <v>336</v>
      </c>
      <c r="G3" s="0" t="s">
        <v>441</v>
      </c>
      <c r="H3" s="0" t="n">
        <v>2</v>
      </c>
      <c r="I3" s="0" t="s">
        <v>438</v>
      </c>
      <c r="J3" s="0" t="s">
        <v>315</v>
      </c>
    </row>
    <row r="4" customFormat="false" ht="12.8" hidden="false" customHeight="false" outlineLevel="0" collapsed="false">
      <c r="A4" s="1" t="s">
        <v>10</v>
      </c>
      <c r="B4" s="0" t="s">
        <v>442</v>
      </c>
      <c r="C4" s="0" t="s">
        <v>443</v>
      </c>
      <c r="D4" s="0" t="s">
        <v>436</v>
      </c>
      <c r="E4" s="0" t="s">
        <v>364</v>
      </c>
      <c r="F4" s="1" t="s">
        <v>444</v>
      </c>
      <c r="G4" s="0" t="s">
        <v>445</v>
      </c>
      <c r="H4" s="0" t="n">
        <v>2</v>
      </c>
      <c r="I4" s="0" t="s">
        <v>438</v>
      </c>
      <c r="J4" s="0" t="s">
        <v>315</v>
      </c>
    </row>
    <row r="5" customFormat="false" ht="12.8" hidden="false" customHeight="false" outlineLevel="0" collapsed="false">
      <c r="A5" s="1" t="s">
        <v>10</v>
      </c>
      <c r="B5" s="0" t="s">
        <v>446</v>
      </c>
      <c r="C5" s="0" t="s">
        <v>447</v>
      </c>
      <c r="D5" s="0" t="s">
        <v>436</v>
      </c>
      <c r="E5" s="0" t="s">
        <v>364</v>
      </c>
      <c r="F5" s="1" t="s">
        <v>336</v>
      </c>
      <c r="G5" s="0" t="s">
        <v>448</v>
      </c>
      <c r="H5" s="0" t="n">
        <v>2</v>
      </c>
      <c r="I5" s="0" t="s">
        <v>438</v>
      </c>
      <c r="J5" s="0" t="s">
        <v>315</v>
      </c>
    </row>
    <row r="6" customFormat="false" ht="12.8" hidden="false" customHeight="false" outlineLevel="0" collapsed="false">
      <c r="A6" s="1" t="s">
        <v>32</v>
      </c>
      <c r="B6" s="0" t="s">
        <v>439</v>
      </c>
      <c r="C6" s="0" t="s">
        <v>442</v>
      </c>
      <c r="D6" s="0" t="s">
        <v>436</v>
      </c>
      <c r="E6" s="0" t="s">
        <v>364</v>
      </c>
      <c r="F6" s="1" t="s">
        <v>336</v>
      </c>
      <c r="G6" s="0" t="s">
        <v>441</v>
      </c>
      <c r="H6" s="0" t="n">
        <v>3</v>
      </c>
      <c r="I6" s="0" t="s">
        <v>438</v>
      </c>
      <c r="J6" s="0" t="s">
        <v>315</v>
      </c>
    </row>
    <row r="7" customFormat="false" ht="12.8" hidden="false" customHeight="false" outlineLevel="0" collapsed="false">
      <c r="A7" s="1" t="s">
        <v>32</v>
      </c>
      <c r="B7" s="0" t="s">
        <v>447</v>
      </c>
      <c r="C7" s="0" t="s">
        <v>440</v>
      </c>
      <c r="D7" s="0" t="s">
        <v>436</v>
      </c>
      <c r="E7" s="0" t="s">
        <v>364</v>
      </c>
      <c r="F7" s="1" t="s">
        <v>449</v>
      </c>
      <c r="G7" s="0" t="s">
        <v>450</v>
      </c>
      <c r="H7" s="0" t="n">
        <v>3</v>
      </c>
      <c r="I7" s="0" t="s">
        <v>438</v>
      </c>
      <c r="J7" s="0" t="s">
        <v>315</v>
      </c>
    </row>
    <row r="8" customFormat="false" ht="12.8" hidden="false" customHeight="false" outlineLevel="0" collapsed="false">
      <c r="A8" s="1" t="s">
        <v>32</v>
      </c>
      <c r="B8" s="0" t="s">
        <v>443</v>
      </c>
      <c r="C8" s="0" t="s">
        <v>451</v>
      </c>
      <c r="D8" s="0" t="s">
        <v>436</v>
      </c>
      <c r="E8" s="0" t="s">
        <v>364</v>
      </c>
      <c r="F8" s="1" t="s">
        <v>331</v>
      </c>
      <c r="G8" s="0" t="s">
        <v>452</v>
      </c>
      <c r="H8" s="0" t="n">
        <v>3</v>
      </c>
      <c r="I8" s="0" t="s">
        <v>438</v>
      </c>
      <c r="J8" s="0" t="s">
        <v>315</v>
      </c>
    </row>
    <row r="9" customFormat="false" ht="12.8" hidden="false" customHeight="false" outlineLevel="0" collapsed="false">
      <c r="A9" s="1" t="s">
        <v>32</v>
      </c>
      <c r="B9" s="0" t="s">
        <v>435</v>
      </c>
      <c r="C9" s="0" t="s">
        <v>446</v>
      </c>
      <c r="D9" s="0" t="s">
        <v>436</v>
      </c>
      <c r="E9" s="0" t="s">
        <v>364</v>
      </c>
      <c r="F9" s="1" t="s">
        <v>453</v>
      </c>
      <c r="G9" s="0" t="s">
        <v>454</v>
      </c>
      <c r="H9" s="0" t="n">
        <v>3</v>
      </c>
      <c r="I9" s="0" t="s">
        <v>438</v>
      </c>
      <c r="J9" s="0" t="s">
        <v>315</v>
      </c>
    </row>
    <row r="10" customFormat="false" ht="12.8" hidden="false" customHeight="false" outlineLevel="0" collapsed="false">
      <c r="A10" s="1" t="s">
        <v>38</v>
      </c>
      <c r="B10" s="0" t="s">
        <v>451</v>
      </c>
      <c r="C10" s="0" t="s">
        <v>439</v>
      </c>
      <c r="D10" s="0" t="s">
        <v>436</v>
      </c>
      <c r="E10" s="0" t="s">
        <v>364</v>
      </c>
      <c r="F10" s="1" t="s">
        <v>336</v>
      </c>
      <c r="G10" s="0" t="s">
        <v>455</v>
      </c>
      <c r="H10" s="0" t="n">
        <v>4</v>
      </c>
      <c r="I10" s="0" t="s">
        <v>438</v>
      </c>
      <c r="J10" s="0" t="s">
        <v>315</v>
      </c>
    </row>
    <row r="11" customFormat="false" ht="12.8" hidden="false" customHeight="false" outlineLevel="0" collapsed="false">
      <c r="A11" s="1" t="s">
        <v>38</v>
      </c>
      <c r="B11" s="0" t="s">
        <v>440</v>
      </c>
      <c r="C11" s="0" t="s">
        <v>442</v>
      </c>
      <c r="D11" s="0" t="s">
        <v>436</v>
      </c>
      <c r="E11" s="0" t="s">
        <v>364</v>
      </c>
      <c r="F11" s="1" t="s">
        <v>334</v>
      </c>
      <c r="G11" s="0" t="s">
        <v>456</v>
      </c>
      <c r="H11" s="0" t="n">
        <v>4</v>
      </c>
      <c r="I11" s="0" t="s">
        <v>438</v>
      </c>
      <c r="J11" s="0" t="s">
        <v>315</v>
      </c>
    </row>
    <row r="12" customFormat="false" ht="12.8" hidden="false" customHeight="false" outlineLevel="0" collapsed="false">
      <c r="A12" s="1" t="s">
        <v>38</v>
      </c>
      <c r="B12" s="0" t="s">
        <v>447</v>
      </c>
      <c r="C12" s="0" t="s">
        <v>435</v>
      </c>
      <c r="D12" s="0" t="s">
        <v>436</v>
      </c>
      <c r="E12" s="0" t="s">
        <v>364</v>
      </c>
      <c r="F12" s="1" t="s">
        <v>449</v>
      </c>
      <c r="G12" s="0" t="s">
        <v>450</v>
      </c>
      <c r="H12" s="0" t="n">
        <v>4</v>
      </c>
      <c r="I12" s="0" t="s">
        <v>438</v>
      </c>
      <c r="J12" s="0" t="s">
        <v>315</v>
      </c>
    </row>
    <row r="13" customFormat="false" ht="12.8" hidden="false" customHeight="false" outlineLevel="0" collapsed="false">
      <c r="A13" s="1" t="s">
        <v>38</v>
      </c>
      <c r="B13" s="0" t="s">
        <v>434</v>
      </c>
      <c r="C13" s="0" t="s">
        <v>443</v>
      </c>
      <c r="D13" s="0" t="s">
        <v>436</v>
      </c>
      <c r="E13" s="0" t="s">
        <v>364</v>
      </c>
      <c r="F13" s="1" t="s">
        <v>331</v>
      </c>
      <c r="G13" s="0" t="s">
        <v>437</v>
      </c>
      <c r="H13" s="0" t="n">
        <v>4</v>
      </c>
      <c r="I13" s="0" t="s">
        <v>438</v>
      </c>
      <c r="J13" s="0" t="s">
        <v>315</v>
      </c>
    </row>
    <row r="14" customFormat="false" ht="12.8" hidden="false" customHeight="false" outlineLevel="0" collapsed="false">
      <c r="A14" s="1" t="s">
        <v>39</v>
      </c>
      <c r="B14" s="0" t="s">
        <v>435</v>
      </c>
      <c r="C14" s="0" t="s">
        <v>440</v>
      </c>
      <c r="D14" s="0" t="s">
        <v>436</v>
      </c>
      <c r="E14" s="0" t="s">
        <v>364</v>
      </c>
      <c r="F14" s="1" t="s">
        <v>453</v>
      </c>
      <c r="G14" s="0" t="s">
        <v>454</v>
      </c>
      <c r="H14" s="0" t="n">
        <v>5</v>
      </c>
      <c r="I14" s="0" t="s">
        <v>438</v>
      </c>
      <c r="J14" s="0" t="s">
        <v>315</v>
      </c>
    </row>
    <row r="15" customFormat="false" ht="12.8" hidden="false" customHeight="false" outlineLevel="0" collapsed="false">
      <c r="A15" s="1" t="s">
        <v>39</v>
      </c>
      <c r="B15" s="0" t="s">
        <v>442</v>
      </c>
      <c r="C15" s="0" t="s">
        <v>451</v>
      </c>
      <c r="D15" s="0" t="s">
        <v>436</v>
      </c>
      <c r="E15" s="0" t="s">
        <v>364</v>
      </c>
      <c r="F15" s="1" t="s">
        <v>444</v>
      </c>
      <c r="G15" s="0" t="s">
        <v>445</v>
      </c>
      <c r="H15" s="0" t="n">
        <v>5</v>
      </c>
      <c r="I15" s="0" t="s">
        <v>438</v>
      </c>
      <c r="J15" s="0" t="s">
        <v>315</v>
      </c>
    </row>
    <row r="16" customFormat="false" ht="12.8" hidden="false" customHeight="false" outlineLevel="0" collapsed="false">
      <c r="A16" s="1" t="s">
        <v>39</v>
      </c>
      <c r="B16" s="0" t="s">
        <v>443</v>
      </c>
      <c r="C16" s="0" t="s">
        <v>446</v>
      </c>
      <c r="D16" s="0" t="s">
        <v>436</v>
      </c>
      <c r="E16" s="0" t="s">
        <v>364</v>
      </c>
      <c r="F16" s="1" t="s">
        <v>331</v>
      </c>
      <c r="G16" s="0" t="s">
        <v>452</v>
      </c>
      <c r="H16" s="0" t="n">
        <v>5</v>
      </c>
      <c r="I16" s="0" t="s">
        <v>438</v>
      </c>
      <c r="J16" s="0" t="s">
        <v>315</v>
      </c>
    </row>
    <row r="17" customFormat="false" ht="12.8" hidden="false" customHeight="false" outlineLevel="0" collapsed="false">
      <c r="A17" s="1" t="s">
        <v>39</v>
      </c>
      <c r="B17" s="0" t="s">
        <v>439</v>
      </c>
      <c r="C17" s="0" t="s">
        <v>434</v>
      </c>
      <c r="D17" s="0" t="s">
        <v>436</v>
      </c>
      <c r="E17" s="0" t="s">
        <v>364</v>
      </c>
      <c r="F17" s="1" t="s">
        <v>336</v>
      </c>
      <c r="G17" s="0" t="s">
        <v>441</v>
      </c>
      <c r="H17" s="0" t="n">
        <v>5</v>
      </c>
      <c r="I17" s="0" t="s">
        <v>438</v>
      </c>
      <c r="J17" s="0" t="s">
        <v>315</v>
      </c>
    </row>
    <row r="18" customFormat="false" ht="12.8" hidden="false" customHeight="false" outlineLevel="0" collapsed="false">
      <c r="A18" s="1" t="s">
        <v>40</v>
      </c>
      <c r="B18" s="0" t="s">
        <v>446</v>
      </c>
      <c r="C18" s="0" t="s">
        <v>439</v>
      </c>
      <c r="D18" s="0" t="s">
        <v>436</v>
      </c>
      <c r="E18" s="0" t="s">
        <v>364</v>
      </c>
      <c r="F18" s="1" t="s">
        <v>336</v>
      </c>
      <c r="G18" s="0" t="s">
        <v>448</v>
      </c>
      <c r="H18" s="0" t="n">
        <v>6</v>
      </c>
      <c r="I18" s="0" t="s">
        <v>438</v>
      </c>
      <c r="J18" s="0" t="s">
        <v>315</v>
      </c>
    </row>
    <row r="19" customFormat="false" ht="12.8" hidden="false" customHeight="false" outlineLevel="0" collapsed="false">
      <c r="A19" s="1" t="s">
        <v>40</v>
      </c>
      <c r="B19" s="0" t="s">
        <v>434</v>
      </c>
      <c r="C19" s="0" t="s">
        <v>442</v>
      </c>
      <c r="D19" s="0" t="s">
        <v>436</v>
      </c>
      <c r="E19" s="0" t="s">
        <v>364</v>
      </c>
      <c r="F19" s="1" t="s">
        <v>331</v>
      </c>
      <c r="G19" s="0" t="s">
        <v>437</v>
      </c>
      <c r="H19" s="0" t="n">
        <v>6</v>
      </c>
      <c r="I19" s="0" t="s">
        <v>438</v>
      </c>
      <c r="J19" s="0" t="s">
        <v>315</v>
      </c>
    </row>
    <row r="20" customFormat="false" ht="12.8" hidden="false" customHeight="false" outlineLevel="0" collapsed="false">
      <c r="A20" s="1" t="s">
        <v>40</v>
      </c>
      <c r="B20" s="0" t="s">
        <v>447</v>
      </c>
      <c r="C20" s="0" t="s">
        <v>443</v>
      </c>
      <c r="D20" s="0" t="s">
        <v>436</v>
      </c>
      <c r="E20" s="0" t="s">
        <v>364</v>
      </c>
      <c r="F20" s="1" t="s">
        <v>449</v>
      </c>
      <c r="G20" s="0" t="s">
        <v>450</v>
      </c>
      <c r="H20" s="0" t="n">
        <v>6</v>
      </c>
      <c r="I20" s="0" t="s">
        <v>438</v>
      </c>
      <c r="J20" s="0" t="s">
        <v>315</v>
      </c>
    </row>
    <row r="21" customFormat="false" ht="12.8" hidden="false" customHeight="false" outlineLevel="0" collapsed="false">
      <c r="A21" s="1" t="s">
        <v>40</v>
      </c>
      <c r="B21" s="0" t="s">
        <v>440</v>
      </c>
      <c r="C21" s="0" t="s">
        <v>451</v>
      </c>
      <c r="D21" s="0" t="s">
        <v>436</v>
      </c>
      <c r="E21" s="0" t="s">
        <v>364</v>
      </c>
      <c r="F21" s="1" t="s">
        <v>334</v>
      </c>
      <c r="G21" s="0" t="s">
        <v>456</v>
      </c>
      <c r="H21" s="0" t="n">
        <v>6</v>
      </c>
      <c r="I21" s="0" t="s">
        <v>438</v>
      </c>
      <c r="J21" s="0" t="s">
        <v>315</v>
      </c>
    </row>
    <row r="22" customFormat="false" ht="12.8" hidden="false" customHeight="false" outlineLevel="0" collapsed="false">
      <c r="A22" s="1" t="s">
        <v>41</v>
      </c>
      <c r="B22" s="0" t="s">
        <v>443</v>
      </c>
      <c r="C22" s="0" t="s">
        <v>435</v>
      </c>
      <c r="D22" s="0" t="s">
        <v>436</v>
      </c>
      <c r="E22" s="0" t="s">
        <v>364</v>
      </c>
      <c r="F22" s="1" t="s">
        <v>331</v>
      </c>
      <c r="G22" s="0" t="s">
        <v>452</v>
      </c>
      <c r="H22" s="0" t="n">
        <v>7</v>
      </c>
      <c r="I22" s="0" t="s">
        <v>438</v>
      </c>
      <c r="J22" s="0" t="s">
        <v>315</v>
      </c>
    </row>
    <row r="23" customFormat="false" ht="12.8" hidden="false" customHeight="false" outlineLevel="0" collapsed="false">
      <c r="A23" s="1" t="s">
        <v>41</v>
      </c>
      <c r="B23" s="0" t="s">
        <v>439</v>
      </c>
      <c r="C23" s="0" t="s">
        <v>447</v>
      </c>
      <c r="D23" s="0" t="s">
        <v>436</v>
      </c>
      <c r="E23" s="0" t="s">
        <v>364</v>
      </c>
      <c r="F23" s="1" t="s">
        <v>336</v>
      </c>
      <c r="G23" s="0" t="s">
        <v>441</v>
      </c>
      <c r="H23" s="0" t="n">
        <v>7</v>
      </c>
      <c r="I23" s="0" t="s">
        <v>438</v>
      </c>
      <c r="J23" s="0" t="s">
        <v>315</v>
      </c>
    </row>
    <row r="24" customFormat="false" ht="12.8" hidden="false" customHeight="false" outlineLevel="0" collapsed="false">
      <c r="A24" s="1" t="s">
        <v>41</v>
      </c>
      <c r="B24" s="0" t="s">
        <v>442</v>
      </c>
      <c r="C24" s="0" t="s">
        <v>446</v>
      </c>
      <c r="D24" s="0" t="s">
        <v>436</v>
      </c>
      <c r="E24" s="0" t="s">
        <v>364</v>
      </c>
      <c r="F24" s="1" t="s">
        <v>444</v>
      </c>
      <c r="G24" s="0" t="s">
        <v>445</v>
      </c>
      <c r="H24" s="0" t="n">
        <v>7</v>
      </c>
      <c r="I24" s="0" t="s">
        <v>438</v>
      </c>
      <c r="J24" s="0" t="s">
        <v>315</v>
      </c>
    </row>
    <row r="25" customFormat="false" ht="12.8" hidden="false" customHeight="false" outlineLevel="0" collapsed="false">
      <c r="A25" s="1" t="s">
        <v>41</v>
      </c>
      <c r="B25" s="0" t="s">
        <v>451</v>
      </c>
      <c r="C25" s="0" t="s">
        <v>434</v>
      </c>
      <c r="D25" s="0" t="s">
        <v>436</v>
      </c>
      <c r="E25" s="0" t="s">
        <v>364</v>
      </c>
      <c r="F25" s="1" t="s">
        <v>336</v>
      </c>
      <c r="G25" s="0" t="s">
        <v>455</v>
      </c>
      <c r="H25" s="0" t="n">
        <v>7</v>
      </c>
      <c r="I25" s="0" t="s">
        <v>438</v>
      </c>
      <c r="J25" s="0" t="s">
        <v>315</v>
      </c>
    </row>
    <row r="26" customFormat="false" ht="12.8" hidden="false" customHeight="false" outlineLevel="0" collapsed="false">
      <c r="A26" s="1" t="s">
        <v>42</v>
      </c>
      <c r="B26" s="0" t="s">
        <v>435</v>
      </c>
      <c r="C26" s="0" t="s">
        <v>439</v>
      </c>
      <c r="D26" s="0" t="s">
        <v>436</v>
      </c>
      <c r="E26" s="0" t="s">
        <v>364</v>
      </c>
      <c r="F26" s="1" t="s">
        <v>453</v>
      </c>
      <c r="G26" s="0" t="s">
        <v>454</v>
      </c>
      <c r="H26" s="0" t="n">
        <v>8</v>
      </c>
      <c r="I26" s="0" t="s">
        <v>438</v>
      </c>
      <c r="J26" s="0" t="s">
        <v>315</v>
      </c>
    </row>
    <row r="27" customFormat="false" ht="12.8" hidden="false" customHeight="false" outlineLevel="0" collapsed="false">
      <c r="A27" s="1" t="s">
        <v>42</v>
      </c>
      <c r="B27" s="0" t="s">
        <v>447</v>
      </c>
      <c r="C27" s="0" t="s">
        <v>442</v>
      </c>
      <c r="D27" s="0" t="s">
        <v>436</v>
      </c>
      <c r="E27" s="0" t="s">
        <v>364</v>
      </c>
      <c r="F27" s="1" t="s">
        <v>449</v>
      </c>
      <c r="G27" s="0" t="s">
        <v>450</v>
      </c>
      <c r="H27" s="0" t="n">
        <v>8</v>
      </c>
      <c r="I27" s="0" t="s">
        <v>438</v>
      </c>
      <c r="J27" s="0" t="s">
        <v>315</v>
      </c>
    </row>
    <row r="28" customFormat="false" ht="12.8" hidden="false" customHeight="false" outlineLevel="0" collapsed="false">
      <c r="A28" s="1" t="s">
        <v>42</v>
      </c>
      <c r="B28" s="0" t="s">
        <v>446</v>
      </c>
      <c r="C28" s="0" t="s">
        <v>451</v>
      </c>
      <c r="D28" s="0" t="s">
        <v>436</v>
      </c>
      <c r="E28" s="0" t="s">
        <v>364</v>
      </c>
      <c r="F28" s="1" t="s">
        <v>336</v>
      </c>
      <c r="G28" s="0" t="s">
        <v>448</v>
      </c>
      <c r="H28" s="0" t="n">
        <v>8</v>
      </c>
      <c r="I28" s="0" t="s">
        <v>438</v>
      </c>
      <c r="J28" s="0" t="s">
        <v>315</v>
      </c>
    </row>
    <row r="29" customFormat="false" ht="12.8" hidden="false" customHeight="false" outlineLevel="0" collapsed="false">
      <c r="A29" s="1" t="s">
        <v>42</v>
      </c>
      <c r="B29" s="0" t="s">
        <v>440</v>
      </c>
      <c r="C29" s="0" t="s">
        <v>434</v>
      </c>
      <c r="D29" s="0" t="s">
        <v>436</v>
      </c>
      <c r="E29" s="0" t="s">
        <v>364</v>
      </c>
      <c r="F29" s="1" t="s">
        <v>334</v>
      </c>
      <c r="G29" s="0" t="s">
        <v>456</v>
      </c>
      <c r="H29" s="0" t="n">
        <v>8</v>
      </c>
      <c r="I29" s="0" t="s">
        <v>438</v>
      </c>
      <c r="J29" s="0" t="s">
        <v>315</v>
      </c>
    </row>
    <row r="30" customFormat="false" ht="12.8" hidden="false" customHeight="false" outlineLevel="0" collapsed="false">
      <c r="A30" s="1" t="s">
        <v>43</v>
      </c>
      <c r="B30" s="0" t="s">
        <v>442</v>
      </c>
      <c r="C30" s="0" t="s">
        <v>435</v>
      </c>
      <c r="D30" s="0" t="s">
        <v>436</v>
      </c>
      <c r="E30" s="0" t="s">
        <v>364</v>
      </c>
      <c r="F30" s="1" t="s">
        <v>444</v>
      </c>
      <c r="G30" s="0" t="s">
        <v>445</v>
      </c>
      <c r="H30" s="0" t="n">
        <v>9</v>
      </c>
      <c r="I30" s="0" t="s">
        <v>438</v>
      </c>
      <c r="J30" s="0" t="s">
        <v>315</v>
      </c>
    </row>
    <row r="31" customFormat="false" ht="12.8" hidden="false" customHeight="false" outlineLevel="0" collapsed="false">
      <c r="A31" s="1" t="s">
        <v>43</v>
      </c>
      <c r="B31" s="0" t="s">
        <v>443</v>
      </c>
      <c r="C31" s="0" t="s">
        <v>440</v>
      </c>
      <c r="D31" s="0" t="s">
        <v>436</v>
      </c>
      <c r="E31" s="0" t="s">
        <v>364</v>
      </c>
      <c r="F31" s="1" t="s">
        <v>331</v>
      </c>
      <c r="G31" s="0" t="s">
        <v>452</v>
      </c>
      <c r="H31" s="0" t="n">
        <v>9</v>
      </c>
      <c r="I31" s="0" t="s">
        <v>438</v>
      </c>
      <c r="J31" s="0" t="s">
        <v>315</v>
      </c>
    </row>
    <row r="32" customFormat="false" ht="12.8" hidden="false" customHeight="false" outlineLevel="0" collapsed="false">
      <c r="A32" s="1" t="s">
        <v>43</v>
      </c>
      <c r="B32" s="0" t="s">
        <v>451</v>
      </c>
      <c r="C32" s="0" t="s">
        <v>447</v>
      </c>
      <c r="D32" s="0" t="s">
        <v>436</v>
      </c>
      <c r="E32" s="0" t="s">
        <v>364</v>
      </c>
      <c r="F32" s="1" t="s">
        <v>336</v>
      </c>
      <c r="G32" s="0" t="s">
        <v>455</v>
      </c>
      <c r="H32" s="0" t="n">
        <v>9</v>
      </c>
      <c r="I32" s="0" t="s">
        <v>438</v>
      </c>
      <c r="J32" s="0" t="s">
        <v>315</v>
      </c>
    </row>
    <row r="33" customFormat="false" ht="12.8" hidden="false" customHeight="false" outlineLevel="0" collapsed="false">
      <c r="A33" s="1" t="s">
        <v>43</v>
      </c>
      <c r="B33" s="0" t="s">
        <v>434</v>
      </c>
      <c r="C33" s="0" t="s">
        <v>446</v>
      </c>
      <c r="D33" s="0" t="s">
        <v>436</v>
      </c>
      <c r="E33" s="0" t="s">
        <v>364</v>
      </c>
      <c r="F33" s="1" t="s">
        <v>331</v>
      </c>
      <c r="G33" s="0" t="s">
        <v>437</v>
      </c>
      <c r="H33" s="0" t="n">
        <v>9</v>
      </c>
      <c r="I33" s="0" t="s">
        <v>438</v>
      </c>
      <c r="J33" s="0" t="s">
        <v>315</v>
      </c>
    </row>
    <row r="34" customFormat="false" ht="12.8" hidden="false" customHeight="false" outlineLevel="0" collapsed="false">
      <c r="A34" s="1" t="s">
        <v>457</v>
      </c>
      <c r="B34" s="0" t="s">
        <v>458</v>
      </c>
      <c r="C34" s="0" t="s">
        <v>459</v>
      </c>
      <c r="D34" s="0" t="s">
        <v>436</v>
      </c>
      <c r="E34" s="0" t="s">
        <v>14</v>
      </c>
      <c r="F34" s="1" t="s">
        <v>31</v>
      </c>
      <c r="G34" s="0" t="s">
        <v>460</v>
      </c>
      <c r="H34" s="0" t="n">
        <v>1</v>
      </c>
      <c r="I34" s="0" t="s">
        <v>461</v>
      </c>
      <c r="J34" s="0" t="s">
        <v>315</v>
      </c>
    </row>
    <row r="35" customFormat="false" ht="12.8" hidden="false" customHeight="false" outlineLevel="0" collapsed="false">
      <c r="A35" s="1" t="s">
        <v>457</v>
      </c>
      <c r="B35" s="0" t="s">
        <v>462</v>
      </c>
      <c r="C35" s="0" t="s">
        <v>463</v>
      </c>
      <c r="D35" s="0" t="s">
        <v>436</v>
      </c>
      <c r="E35" s="0" t="s">
        <v>14</v>
      </c>
      <c r="F35" s="1" t="s">
        <v>464</v>
      </c>
      <c r="G35" s="0" t="s">
        <v>465</v>
      </c>
      <c r="H35" s="0" t="n">
        <v>1</v>
      </c>
      <c r="I35" s="0" t="s">
        <v>461</v>
      </c>
      <c r="J35" s="0" t="s">
        <v>315</v>
      </c>
    </row>
    <row r="36" customFormat="false" ht="12.8" hidden="false" customHeight="false" outlineLevel="0" collapsed="false">
      <c r="A36" s="1" t="s">
        <v>457</v>
      </c>
      <c r="B36" s="0" t="s">
        <v>466</v>
      </c>
      <c r="C36" s="0" t="s">
        <v>467</v>
      </c>
      <c r="D36" s="0" t="s">
        <v>436</v>
      </c>
      <c r="E36" s="0" t="s">
        <v>14</v>
      </c>
      <c r="F36" s="1" t="s">
        <v>468</v>
      </c>
      <c r="G36" s="0" t="s">
        <v>469</v>
      </c>
      <c r="H36" s="0" t="n">
        <v>1</v>
      </c>
      <c r="I36" s="0" t="s">
        <v>461</v>
      </c>
      <c r="J36" s="0" t="s">
        <v>315</v>
      </c>
    </row>
    <row r="37" customFormat="false" ht="12.8" hidden="false" customHeight="false" outlineLevel="0" collapsed="false">
      <c r="A37" s="1" t="s">
        <v>457</v>
      </c>
      <c r="B37" s="0" t="s">
        <v>470</v>
      </c>
      <c r="C37" s="0" t="s">
        <v>471</v>
      </c>
      <c r="D37" s="0" t="s">
        <v>436</v>
      </c>
      <c r="E37" s="0" t="s">
        <v>14</v>
      </c>
      <c r="F37" s="1" t="s">
        <v>472</v>
      </c>
      <c r="G37" s="0" t="s">
        <v>473</v>
      </c>
      <c r="H37" s="0" t="n">
        <v>1</v>
      </c>
      <c r="I37" s="0" t="s">
        <v>461</v>
      </c>
      <c r="J37" s="0" t="s">
        <v>315</v>
      </c>
    </row>
    <row r="38" customFormat="false" ht="12.8" hidden="false" customHeight="false" outlineLevel="0" collapsed="false">
      <c r="A38" s="1" t="s">
        <v>457</v>
      </c>
      <c r="B38" s="0" t="s">
        <v>474</v>
      </c>
      <c r="C38" s="0" t="s">
        <v>475</v>
      </c>
      <c r="D38" s="0" t="s">
        <v>436</v>
      </c>
      <c r="E38" s="0" t="s">
        <v>14</v>
      </c>
      <c r="F38" s="1" t="s">
        <v>468</v>
      </c>
      <c r="G38" s="0" t="s">
        <v>476</v>
      </c>
      <c r="H38" s="0" t="n">
        <v>1</v>
      </c>
      <c r="I38" s="0" t="s">
        <v>461</v>
      </c>
      <c r="J38" s="0" t="s">
        <v>315</v>
      </c>
    </row>
    <row r="39" customFormat="false" ht="12.8" hidden="false" customHeight="false" outlineLevel="0" collapsed="false">
      <c r="A39" s="1" t="s">
        <v>477</v>
      </c>
      <c r="B39" s="0" t="s">
        <v>475</v>
      </c>
      <c r="C39" s="0" t="s">
        <v>470</v>
      </c>
      <c r="D39" s="0" t="s">
        <v>436</v>
      </c>
      <c r="E39" s="0" t="s">
        <v>14</v>
      </c>
      <c r="F39" s="1" t="s">
        <v>478</v>
      </c>
      <c r="G39" s="0" t="s">
        <v>479</v>
      </c>
      <c r="H39" s="0" t="n">
        <v>2</v>
      </c>
      <c r="I39" s="0" t="s">
        <v>461</v>
      </c>
      <c r="J39" s="0" t="s">
        <v>315</v>
      </c>
    </row>
    <row r="40" customFormat="false" ht="12.8" hidden="false" customHeight="false" outlineLevel="0" collapsed="false">
      <c r="A40" s="1" t="s">
        <v>477</v>
      </c>
      <c r="B40" s="0" t="s">
        <v>467</v>
      </c>
      <c r="C40" s="0" t="s">
        <v>462</v>
      </c>
      <c r="D40" s="0" t="s">
        <v>436</v>
      </c>
      <c r="E40" s="0" t="s">
        <v>14</v>
      </c>
      <c r="F40" s="1" t="s">
        <v>468</v>
      </c>
      <c r="G40" s="0" t="s">
        <v>480</v>
      </c>
      <c r="H40" s="0" t="n">
        <v>2</v>
      </c>
      <c r="I40" s="0" t="s">
        <v>461</v>
      </c>
      <c r="J40" s="0" t="s">
        <v>315</v>
      </c>
    </row>
    <row r="41" customFormat="false" ht="12.8" hidden="false" customHeight="false" outlineLevel="0" collapsed="false">
      <c r="A41" s="1" t="s">
        <v>477</v>
      </c>
      <c r="B41" s="0" t="s">
        <v>459</v>
      </c>
      <c r="C41" s="0" t="s">
        <v>474</v>
      </c>
      <c r="D41" s="0" t="s">
        <v>436</v>
      </c>
      <c r="E41" s="0" t="s">
        <v>14</v>
      </c>
      <c r="F41" s="1" t="s">
        <v>481</v>
      </c>
      <c r="G41" s="0" t="s">
        <v>482</v>
      </c>
      <c r="H41" s="0" t="n">
        <v>2</v>
      </c>
      <c r="I41" s="0" t="s">
        <v>461</v>
      </c>
      <c r="J41" s="0" t="s">
        <v>315</v>
      </c>
    </row>
    <row r="42" customFormat="false" ht="12.8" hidden="false" customHeight="false" outlineLevel="0" collapsed="false">
      <c r="A42" s="1" t="s">
        <v>477</v>
      </c>
      <c r="B42" s="0" t="s">
        <v>463</v>
      </c>
      <c r="C42" s="0" t="s">
        <v>458</v>
      </c>
      <c r="D42" s="0" t="s">
        <v>436</v>
      </c>
      <c r="E42" s="0" t="s">
        <v>14</v>
      </c>
      <c r="F42" s="1" t="s">
        <v>464</v>
      </c>
      <c r="G42" s="0" t="s">
        <v>483</v>
      </c>
      <c r="H42" s="0" t="n">
        <v>2</v>
      </c>
      <c r="I42" s="0" t="s">
        <v>461</v>
      </c>
      <c r="J42" s="0" t="s">
        <v>315</v>
      </c>
    </row>
    <row r="43" customFormat="false" ht="12.8" hidden="false" customHeight="false" outlineLevel="0" collapsed="false">
      <c r="A43" s="1" t="s">
        <v>484</v>
      </c>
      <c r="B43" s="0" t="s">
        <v>471</v>
      </c>
      <c r="C43" s="0" t="s">
        <v>466</v>
      </c>
      <c r="D43" s="0" t="s">
        <v>436</v>
      </c>
      <c r="E43" s="0" t="s">
        <v>14</v>
      </c>
      <c r="F43" s="1" t="s">
        <v>485</v>
      </c>
      <c r="G43" s="0" t="s">
        <v>486</v>
      </c>
      <c r="H43" s="0" t="n">
        <v>2</v>
      </c>
      <c r="I43" s="0" t="s">
        <v>461</v>
      </c>
      <c r="J43" s="0" t="s">
        <v>315</v>
      </c>
    </row>
    <row r="44" customFormat="false" ht="12.8" hidden="false" customHeight="false" outlineLevel="0" collapsed="false">
      <c r="A44" s="1" t="s">
        <v>487</v>
      </c>
      <c r="B44" s="0" t="s">
        <v>475</v>
      </c>
      <c r="C44" s="0" t="s">
        <v>459</v>
      </c>
      <c r="D44" s="0" t="s">
        <v>436</v>
      </c>
      <c r="E44" s="0" t="s">
        <v>14</v>
      </c>
      <c r="F44" s="1" t="s">
        <v>478</v>
      </c>
      <c r="G44" s="0" t="s">
        <v>479</v>
      </c>
      <c r="H44" s="0" t="n">
        <v>3</v>
      </c>
      <c r="I44" s="0" t="s">
        <v>461</v>
      </c>
      <c r="J44" s="0" t="s">
        <v>315</v>
      </c>
    </row>
    <row r="45" customFormat="false" ht="12.8" hidden="false" customHeight="false" outlineLevel="0" collapsed="false">
      <c r="A45" s="1" t="s">
        <v>487</v>
      </c>
      <c r="B45" s="0" t="s">
        <v>466</v>
      </c>
      <c r="C45" s="0" t="s">
        <v>470</v>
      </c>
      <c r="D45" s="0" t="s">
        <v>436</v>
      </c>
      <c r="E45" s="0" t="s">
        <v>14</v>
      </c>
      <c r="F45" s="1" t="s">
        <v>481</v>
      </c>
      <c r="G45" s="0" t="s">
        <v>488</v>
      </c>
      <c r="H45" s="0" t="n">
        <v>3</v>
      </c>
      <c r="I45" s="0" t="s">
        <v>461</v>
      </c>
      <c r="J45" s="0" t="s">
        <v>315</v>
      </c>
    </row>
    <row r="46" customFormat="false" ht="12.8" hidden="false" customHeight="false" outlineLevel="0" collapsed="false">
      <c r="A46" s="1" t="s">
        <v>487</v>
      </c>
      <c r="B46" s="0" t="s">
        <v>474</v>
      </c>
      <c r="C46" s="0" t="s">
        <v>463</v>
      </c>
      <c r="D46" s="0" t="s">
        <v>436</v>
      </c>
      <c r="E46" s="0" t="s">
        <v>14</v>
      </c>
      <c r="F46" s="1" t="s">
        <v>468</v>
      </c>
      <c r="G46" s="0" t="s">
        <v>476</v>
      </c>
      <c r="H46" s="0" t="n">
        <v>3</v>
      </c>
      <c r="I46" s="0" t="s">
        <v>461</v>
      </c>
      <c r="J46" s="0" t="s">
        <v>315</v>
      </c>
    </row>
    <row r="47" customFormat="false" ht="12.8" hidden="false" customHeight="false" outlineLevel="0" collapsed="false">
      <c r="A47" s="1" t="s">
        <v>487</v>
      </c>
      <c r="B47" s="0" t="s">
        <v>458</v>
      </c>
      <c r="C47" s="0" t="s">
        <v>467</v>
      </c>
      <c r="D47" s="0" t="s">
        <v>436</v>
      </c>
      <c r="E47" s="0" t="s">
        <v>14</v>
      </c>
      <c r="F47" s="1" t="s">
        <v>31</v>
      </c>
      <c r="G47" s="0" t="s">
        <v>460</v>
      </c>
      <c r="H47" s="0" t="n">
        <v>3</v>
      </c>
      <c r="I47" s="0" t="s">
        <v>461</v>
      </c>
      <c r="J47" s="0" t="s">
        <v>315</v>
      </c>
    </row>
    <row r="48" customFormat="false" ht="12.8" hidden="false" customHeight="false" outlineLevel="0" collapsed="false">
      <c r="A48" s="1" t="s">
        <v>487</v>
      </c>
      <c r="B48" s="0" t="s">
        <v>462</v>
      </c>
      <c r="C48" s="0" t="s">
        <v>471</v>
      </c>
      <c r="D48" s="0" t="s">
        <v>436</v>
      </c>
      <c r="E48" s="0" t="s">
        <v>14</v>
      </c>
      <c r="F48" s="1" t="s">
        <v>464</v>
      </c>
      <c r="G48" s="0" t="s">
        <v>465</v>
      </c>
      <c r="H48" s="0" t="n">
        <v>3</v>
      </c>
      <c r="I48" s="0" t="s">
        <v>461</v>
      </c>
      <c r="J48" s="0" t="s">
        <v>315</v>
      </c>
    </row>
    <row r="49" customFormat="false" ht="12.8" hidden="false" customHeight="false" outlineLevel="0" collapsed="false">
      <c r="A49" s="1" t="s">
        <v>489</v>
      </c>
      <c r="B49" s="0" t="s">
        <v>470</v>
      </c>
      <c r="C49" s="0" t="s">
        <v>459</v>
      </c>
      <c r="D49" s="0" t="s">
        <v>436</v>
      </c>
      <c r="E49" s="0" t="s">
        <v>14</v>
      </c>
      <c r="F49" s="1" t="s">
        <v>472</v>
      </c>
      <c r="G49" s="0" t="s">
        <v>473</v>
      </c>
      <c r="H49" s="0" t="n">
        <v>4</v>
      </c>
      <c r="I49" s="0" t="s">
        <v>461</v>
      </c>
      <c r="J49" s="0" t="s">
        <v>315</v>
      </c>
    </row>
    <row r="50" customFormat="false" ht="12.8" hidden="false" customHeight="false" outlineLevel="0" collapsed="false">
      <c r="A50" s="1" t="s">
        <v>489</v>
      </c>
      <c r="B50" s="0" t="s">
        <v>466</v>
      </c>
      <c r="C50" s="0" t="s">
        <v>462</v>
      </c>
      <c r="D50" s="0" t="s">
        <v>436</v>
      </c>
      <c r="E50" s="0" t="s">
        <v>14</v>
      </c>
      <c r="F50" s="1" t="s">
        <v>481</v>
      </c>
      <c r="G50" s="0" t="s">
        <v>488</v>
      </c>
      <c r="H50" s="0" t="n">
        <v>4</v>
      </c>
      <c r="I50" s="0" t="s">
        <v>461</v>
      </c>
      <c r="J50" s="0" t="s">
        <v>315</v>
      </c>
    </row>
    <row r="51" customFormat="false" ht="12.8" hidden="false" customHeight="false" outlineLevel="0" collapsed="false">
      <c r="A51" s="1" t="s">
        <v>489</v>
      </c>
      <c r="B51" s="0" t="s">
        <v>467</v>
      </c>
      <c r="C51" s="0" t="s">
        <v>474</v>
      </c>
      <c r="D51" s="0" t="s">
        <v>436</v>
      </c>
      <c r="E51" s="0" t="s">
        <v>14</v>
      </c>
      <c r="F51" s="1" t="s">
        <v>468</v>
      </c>
      <c r="G51" s="0" t="s">
        <v>480</v>
      </c>
      <c r="H51" s="0" t="n">
        <v>4</v>
      </c>
      <c r="I51" s="0" t="s">
        <v>461</v>
      </c>
      <c r="J51" s="0" t="s">
        <v>315</v>
      </c>
    </row>
    <row r="52" customFormat="false" ht="12.8" hidden="false" customHeight="false" outlineLevel="0" collapsed="false">
      <c r="A52" s="1" t="s">
        <v>489</v>
      </c>
      <c r="B52" s="0" t="s">
        <v>463</v>
      </c>
      <c r="C52" s="0" t="s">
        <v>475</v>
      </c>
      <c r="D52" s="0" t="s">
        <v>436</v>
      </c>
      <c r="E52" s="0" t="s">
        <v>14</v>
      </c>
      <c r="F52" s="1" t="s">
        <v>464</v>
      </c>
      <c r="G52" s="0" t="s">
        <v>483</v>
      </c>
      <c r="H52" s="0" t="n">
        <v>4</v>
      </c>
      <c r="I52" s="0" t="s">
        <v>461</v>
      </c>
      <c r="J52" s="0" t="s">
        <v>315</v>
      </c>
    </row>
    <row r="53" customFormat="false" ht="12.8" hidden="false" customHeight="false" outlineLevel="0" collapsed="false">
      <c r="A53" s="1" t="s">
        <v>490</v>
      </c>
      <c r="B53" s="0" t="s">
        <v>471</v>
      </c>
      <c r="C53" s="0" t="s">
        <v>458</v>
      </c>
      <c r="D53" s="0" t="s">
        <v>436</v>
      </c>
      <c r="E53" s="0" t="s">
        <v>14</v>
      </c>
      <c r="F53" s="1" t="s">
        <v>485</v>
      </c>
      <c r="G53" s="0" t="s">
        <v>486</v>
      </c>
      <c r="H53" s="0" t="n">
        <v>4</v>
      </c>
      <c r="I53" s="0" t="s">
        <v>461</v>
      </c>
      <c r="J53" s="0" t="s">
        <v>315</v>
      </c>
    </row>
    <row r="54" customFormat="false" ht="12.8" hidden="false" customHeight="false" outlineLevel="0" collapsed="false">
      <c r="A54" s="1" t="s">
        <v>491</v>
      </c>
      <c r="B54" s="0" t="s">
        <v>462</v>
      </c>
      <c r="C54" s="0" t="s">
        <v>470</v>
      </c>
      <c r="D54" s="0" t="s">
        <v>436</v>
      </c>
      <c r="E54" s="0" t="s">
        <v>14</v>
      </c>
      <c r="F54" s="1" t="s">
        <v>464</v>
      </c>
      <c r="G54" s="0" t="s">
        <v>465</v>
      </c>
      <c r="H54" s="0" t="n">
        <v>5</v>
      </c>
      <c r="I54" s="0" t="s">
        <v>461</v>
      </c>
      <c r="J54" s="0" t="s">
        <v>315</v>
      </c>
    </row>
    <row r="55" customFormat="false" ht="12.8" hidden="false" customHeight="false" outlineLevel="0" collapsed="false">
      <c r="A55" s="1" t="s">
        <v>491</v>
      </c>
      <c r="B55" s="0" t="s">
        <v>459</v>
      </c>
      <c r="C55" s="0" t="s">
        <v>463</v>
      </c>
      <c r="D55" s="0" t="s">
        <v>436</v>
      </c>
      <c r="E55" s="0" t="s">
        <v>14</v>
      </c>
      <c r="F55" s="1" t="s">
        <v>481</v>
      </c>
      <c r="G55" s="0" t="s">
        <v>482</v>
      </c>
      <c r="H55" s="0" t="n">
        <v>5</v>
      </c>
      <c r="I55" s="0" t="s">
        <v>461</v>
      </c>
      <c r="J55" s="0" t="s">
        <v>315</v>
      </c>
    </row>
    <row r="56" customFormat="false" ht="12.8" hidden="false" customHeight="false" outlineLevel="0" collapsed="false">
      <c r="A56" s="1" t="s">
        <v>491</v>
      </c>
      <c r="B56" s="0" t="s">
        <v>475</v>
      </c>
      <c r="C56" s="0" t="s">
        <v>467</v>
      </c>
      <c r="D56" s="0" t="s">
        <v>436</v>
      </c>
      <c r="E56" s="0" t="s">
        <v>14</v>
      </c>
      <c r="F56" s="1" t="s">
        <v>478</v>
      </c>
      <c r="G56" s="0" t="s">
        <v>479</v>
      </c>
      <c r="H56" s="0" t="n">
        <v>5</v>
      </c>
      <c r="I56" s="0" t="s">
        <v>461</v>
      </c>
      <c r="J56" s="0" t="s">
        <v>315</v>
      </c>
    </row>
    <row r="57" customFormat="false" ht="12.8" hidden="false" customHeight="false" outlineLevel="0" collapsed="false">
      <c r="A57" s="1" t="s">
        <v>491</v>
      </c>
      <c r="B57" s="0" t="s">
        <v>474</v>
      </c>
      <c r="C57" s="0" t="s">
        <v>471</v>
      </c>
      <c r="D57" s="0" t="s">
        <v>436</v>
      </c>
      <c r="E57" s="0" t="s">
        <v>14</v>
      </c>
      <c r="F57" s="1" t="s">
        <v>468</v>
      </c>
      <c r="G57" s="0" t="s">
        <v>476</v>
      </c>
      <c r="H57" s="0" t="n">
        <v>5</v>
      </c>
      <c r="I57" s="0" t="s">
        <v>461</v>
      </c>
      <c r="J57" s="0" t="s">
        <v>315</v>
      </c>
    </row>
    <row r="58" customFormat="false" ht="12.8" hidden="false" customHeight="false" outlineLevel="0" collapsed="false">
      <c r="A58" s="1" t="s">
        <v>491</v>
      </c>
      <c r="B58" s="0" t="s">
        <v>458</v>
      </c>
      <c r="C58" s="0" t="s">
        <v>466</v>
      </c>
      <c r="D58" s="0" t="s">
        <v>436</v>
      </c>
      <c r="E58" s="0" t="s">
        <v>14</v>
      </c>
      <c r="F58" s="1" t="s">
        <v>31</v>
      </c>
      <c r="G58" s="0" t="s">
        <v>460</v>
      </c>
      <c r="H58" s="0" t="n">
        <v>5</v>
      </c>
      <c r="I58" s="0" t="s">
        <v>461</v>
      </c>
      <c r="J58" s="0" t="s">
        <v>315</v>
      </c>
    </row>
    <row r="59" customFormat="false" ht="12.8" hidden="false" customHeight="false" outlineLevel="0" collapsed="false">
      <c r="A59" s="1" t="s">
        <v>492</v>
      </c>
      <c r="B59" s="0" t="s">
        <v>467</v>
      </c>
      <c r="C59" s="0" t="s">
        <v>459</v>
      </c>
      <c r="D59" s="0" t="s">
        <v>436</v>
      </c>
      <c r="E59" s="0" t="s">
        <v>14</v>
      </c>
      <c r="F59" s="1" t="s">
        <v>468</v>
      </c>
      <c r="G59" s="0" t="s">
        <v>480</v>
      </c>
      <c r="H59" s="0" t="n">
        <v>6</v>
      </c>
      <c r="I59" s="0" t="s">
        <v>461</v>
      </c>
      <c r="J59" s="0" t="s">
        <v>315</v>
      </c>
    </row>
    <row r="60" customFormat="false" ht="12.8" hidden="false" customHeight="false" outlineLevel="0" collapsed="false">
      <c r="A60" s="1" t="s">
        <v>492</v>
      </c>
      <c r="B60" s="0" t="s">
        <v>470</v>
      </c>
      <c r="C60" s="0" t="s">
        <v>463</v>
      </c>
      <c r="D60" s="0" t="s">
        <v>436</v>
      </c>
      <c r="E60" s="0" t="s">
        <v>14</v>
      </c>
      <c r="F60" s="1" t="s">
        <v>472</v>
      </c>
      <c r="G60" s="0" t="s">
        <v>473</v>
      </c>
      <c r="H60" s="0" t="n">
        <v>6</v>
      </c>
      <c r="I60" s="0" t="s">
        <v>461</v>
      </c>
      <c r="J60" s="0" t="s">
        <v>315</v>
      </c>
    </row>
    <row r="61" customFormat="false" ht="12.8" hidden="false" customHeight="false" outlineLevel="0" collapsed="false">
      <c r="A61" s="1" t="s">
        <v>492</v>
      </c>
      <c r="B61" s="0" t="s">
        <v>466</v>
      </c>
      <c r="C61" s="0" t="s">
        <v>474</v>
      </c>
      <c r="D61" s="0" t="s">
        <v>436</v>
      </c>
      <c r="E61" s="0" t="s">
        <v>14</v>
      </c>
      <c r="F61" s="1" t="s">
        <v>481</v>
      </c>
      <c r="G61" s="0" t="s">
        <v>488</v>
      </c>
      <c r="H61" s="0" t="n">
        <v>6</v>
      </c>
      <c r="I61" s="0" t="s">
        <v>461</v>
      </c>
      <c r="J61" s="0" t="s">
        <v>315</v>
      </c>
    </row>
    <row r="62" customFormat="false" ht="12.8" hidden="false" customHeight="false" outlineLevel="0" collapsed="false">
      <c r="A62" s="1" t="s">
        <v>493</v>
      </c>
      <c r="B62" s="0" t="s">
        <v>471</v>
      </c>
      <c r="C62" s="0" t="s">
        <v>475</v>
      </c>
      <c r="D62" s="0" t="s">
        <v>436</v>
      </c>
      <c r="E62" s="0" t="s">
        <v>14</v>
      </c>
      <c r="F62" s="1" t="s">
        <v>485</v>
      </c>
      <c r="G62" s="0" t="s">
        <v>486</v>
      </c>
      <c r="H62" s="0" t="n">
        <v>6</v>
      </c>
      <c r="I62" s="0" t="s">
        <v>461</v>
      </c>
      <c r="J62" s="0" t="s">
        <v>315</v>
      </c>
    </row>
    <row r="63" customFormat="false" ht="12.8" hidden="false" customHeight="false" outlineLevel="0" collapsed="false">
      <c r="A63" s="1" t="s">
        <v>492</v>
      </c>
      <c r="B63" s="0" t="s">
        <v>462</v>
      </c>
      <c r="C63" s="0" t="s">
        <v>458</v>
      </c>
      <c r="D63" s="0" t="s">
        <v>436</v>
      </c>
      <c r="E63" s="0" t="s">
        <v>14</v>
      </c>
      <c r="F63" s="1" t="s">
        <v>464</v>
      </c>
      <c r="G63" s="0" t="s">
        <v>465</v>
      </c>
      <c r="H63" s="0" t="n">
        <v>6</v>
      </c>
      <c r="I63" s="0" t="s">
        <v>461</v>
      </c>
      <c r="J63" s="0" t="s">
        <v>315</v>
      </c>
    </row>
    <row r="64" customFormat="false" ht="12.8" hidden="false" customHeight="false" outlineLevel="0" collapsed="false">
      <c r="A64" s="1" t="s">
        <v>494</v>
      </c>
      <c r="B64" s="0" t="s">
        <v>458</v>
      </c>
      <c r="C64" s="0" t="s">
        <v>470</v>
      </c>
      <c r="D64" s="0" t="s">
        <v>436</v>
      </c>
      <c r="E64" s="0" t="s">
        <v>14</v>
      </c>
      <c r="F64" s="1" t="s">
        <v>31</v>
      </c>
      <c r="G64" s="0" t="s">
        <v>460</v>
      </c>
      <c r="H64" s="0" t="n">
        <v>7</v>
      </c>
      <c r="I64" s="0" t="s">
        <v>461</v>
      </c>
      <c r="J64" s="0" t="s">
        <v>315</v>
      </c>
    </row>
    <row r="65" customFormat="false" ht="12.8" hidden="false" customHeight="false" outlineLevel="0" collapsed="false">
      <c r="A65" s="1" t="s">
        <v>494</v>
      </c>
      <c r="B65" s="0" t="s">
        <v>474</v>
      </c>
      <c r="C65" s="0" t="s">
        <v>462</v>
      </c>
      <c r="D65" s="0" t="s">
        <v>436</v>
      </c>
      <c r="E65" s="0" t="s">
        <v>14</v>
      </c>
      <c r="F65" s="1" t="s">
        <v>468</v>
      </c>
      <c r="G65" s="0" t="s">
        <v>476</v>
      </c>
      <c r="H65" s="0" t="n">
        <v>7</v>
      </c>
      <c r="I65" s="0" t="s">
        <v>461</v>
      </c>
      <c r="J65" s="0" t="s">
        <v>315</v>
      </c>
    </row>
    <row r="66" customFormat="false" ht="12.8" hidden="false" customHeight="false" outlineLevel="0" collapsed="false">
      <c r="A66" s="1" t="s">
        <v>494</v>
      </c>
      <c r="B66" s="0" t="s">
        <v>463</v>
      </c>
      <c r="C66" s="0" t="s">
        <v>467</v>
      </c>
      <c r="D66" s="0" t="s">
        <v>436</v>
      </c>
      <c r="E66" s="0" t="s">
        <v>14</v>
      </c>
      <c r="F66" s="1" t="s">
        <v>464</v>
      </c>
      <c r="G66" s="0" t="s">
        <v>483</v>
      </c>
      <c r="H66" s="0" t="n">
        <v>7</v>
      </c>
      <c r="I66" s="0" t="s">
        <v>461</v>
      </c>
      <c r="J66" s="0" t="s">
        <v>315</v>
      </c>
    </row>
    <row r="67" customFormat="false" ht="12.8" hidden="false" customHeight="false" outlineLevel="0" collapsed="false">
      <c r="A67" s="1" t="s">
        <v>494</v>
      </c>
      <c r="B67" s="0" t="s">
        <v>459</v>
      </c>
      <c r="C67" s="0" t="s">
        <v>471</v>
      </c>
      <c r="D67" s="0" t="s">
        <v>436</v>
      </c>
      <c r="E67" s="0" t="s">
        <v>14</v>
      </c>
      <c r="F67" s="1" t="s">
        <v>481</v>
      </c>
      <c r="G67" s="0" t="s">
        <v>482</v>
      </c>
      <c r="H67" s="0" t="n">
        <v>7</v>
      </c>
      <c r="I67" s="0" t="s">
        <v>461</v>
      </c>
      <c r="J67" s="0" t="s">
        <v>315</v>
      </c>
    </row>
    <row r="68" customFormat="false" ht="12.8" hidden="false" customHeight="false" outlineLevel="0" collapsed="false">
      <c r="A68" s="1" t="s">
        <v>494</v>
      </c>
      <c r="B68" s="0" t="s">
        <v>475</v>
      </c>
      <c r="C68" s="0" t="s">
        <v>466</v>
      </c>
      <c r="D68" s="0" t="s">
        <v>436</v>
      </c>
      <c r="E68" s="0" t="s">
        <v>14</v>
      </c>
      <c r="F68" s="1" t="s">
        <v>478</v>
      </c>
      <c r="G68" s="0" t="s">
        <v>479</v>
      </c>
      <c r="H68" s="0" t="n">
        <v>7</v>
      </c>
      <c r="I68" s="0" t="s">
        <v>461</v>
      </c>
      <c r="J68" s="0" t="s">
        <v>315</v>
      </c>
    </row>
    <row r="69" customFormat="false" ht="12.8" hidden="false" customHeight="false" outlineLevel="0" collapsed="false">
      <c r="A69" s="1" t="s">
        <v>495</v>
      </c>
      <c r="B69" s="0" t="s">
        <v>466</v>
      </c>
      <c r="C69" s="0" t="s">
        <v>459</v>
      </c>
      <c r="D69" s="0" t="s">
        <v>436</v>
      </c>
      <c r="E69" s="0" t="s">
        <v>14</v>
      </c>
      <c r="F69" s="1" t="s">
        <v>481</v>
      </c>
      <c r="G69" s="0" t="s">
        <v>488</v>
      </c>
      <c r="H69" s="0" t="n">
        <v>8</v>
      </c>
      <c r="I69" s="0" t="s">
        <v>461</v>
      </c>
      <c r="J69" s="0" t="s">
        <v>315</v>
      </c>
    </row>
    <row r="70" customFormat="false" ht="12.8" hidden="false" customHeight="false" outlineLevel="0" collapsed="false">
      <c r="A70" s="1" t="s">
        <v>496</v>
      </c>
      <c r="B70" s="0" t="s">
        <v>471</v>
      </c>
      <c r="C70" s="0" t="s">
        <v>463</v>
      </c>
      <c r="D70" s="0" t="s">
        <v>436</v>
      </c>
      <c r="E70" s="0" t="s">
        <v>14</v>
      </c>
      <c r="F70" s="1" t="s">
        <v>485</v>
      </c>
      <c r="G70" s="0" t="s">
        <v>486</v>
      </c>
      <c r="H70" s="0" t="n">
        <v>8</v>
      </c>
      <c r="I70" s="0" t="s">
        <v>461</v>
      </c>
      <c r="J70" s="0" t="s">
        <v>315</v>
      </c>
    </row>
    <row r="71" customFormat="false" ht="12.8" hidden="false" customHeight="false" outlineLevel="0" collapsed="false">
      <c r="A71" s="1" t="s">
        <v>495</v>
      </c>
      <c r="B71" s="0" t="s">
        <v>458</v>
      </c>
      <c r="C71" s="0" t="s">
        <v>474</v>
      </c>
      <c r="D71" s="0" t="s">
        <v>436</v>
      </c>
      <c r="E71" s="0" t="s">
        <v>14</v>
      </c>
      <c r="F71" s="1" t="s">
        <v>31</v>
      </c>
      <c r="G71" s="0" t="s">
        <v>460</v>
      </c>
      <c r="H71" s="0" t="n">
        <v>8</v>
      </c>
      <c r="I71" s="0" t="s">
        <v>461</v>
      </c>
      <c r="J71" s="0" t="s">
        <v>315</v>
      </c>
    </row>
    <row r="72" customFormat="false" ht="12.8" hidden="false" customHeight="false" outlineLevel="0" collapsed="false">
      <c r="A72" s="1" t="s">
        <v>495</v>
      </c>
      <c r="B72" s="0" t="s">
        <v>470</v>
      </c>
      <c r="C72" s="0" t="s">
        <v>467</v>
      </c>
      <c r="D72" s="0" t="s">
        <v>436</v>
      </c>
      <c r="E72" s="0" t="s">
        <v>14</v>
      </c>
      <c r="F72" s="1" t="s">
        <v>472</v>
      </c>
      <c r="G72" s="0" t="s">
        <v>473</v>
      </c>
      <c r="H72" s="0" t="n">
        <v>8</v>
      </c>
      <c r="I72" s="0" t="s">
        <v>461</v>
      </c>
      <c r="J72" s="0" t="s">
        <v>315</v>
      </c>
    </row>
    <row r="73" customFormat="false" ht="12.8" hidden="false" customHeight="false" outlineLevel="0" collapsed="false">
      <c r="A73" s="1" t="s">
        <v>495</v>
      </c>
      <c r="B73" s="0" t="s">
        <v>462</v>
      </c>
      <c r="C73" s="0" t="s">
        <v>475</v>
      </c>
      <c r="D73" s="0" t="s">
        <v>436</v>
      </c>
      <c r="E73" s="0" t="s">
        <v>14</v>
      </c>
      <c r="F73" s="1" t="s">
        <v>464</v>
      </c>
      <c r="G73" s="0" t="s">
        <v>465</v>
      </c>
      <c r="H73" s="0" t="n">
        <v>8</v>
      </c>
      <c r="I73" s="0" t="s">
        <v>461</v>
      </c>
      <c r="J73" s="0" t="s">
        <v>315</v>
      </c>
    </row>
    <row r="74" customFormat="false" ht="12.8" hidden="false" customHeight="false" outlineLevel="0" collapsed="false">
      <c r="A74" s="1" t="s">
        <v>497</v>
      </c>
      <c r="B74" s="0" t="s">
        <v>474</v>
      </c>
      <c r="C74" s="0" t="s">
        <v>470</v>
      </c>
      <c r="D74" s="0" t="s">
        <v>436</v>
      </c>
      <c r="E74" s="0" t="s">
        <v>14</v>
      </c>
      <c r="F74" s="1" t="s">
        <v>468</v>
      </c>
      <c r="G74" s="0" t="s">
        <v>476</v>
      </c>
      <c r="H74" s="0" t="n">
        <v>9</v>
      </c>
      <c r="I74" s="0" t="s">
        <v>461</v>
      </c>
      <c r="J74" s="0" t="s">
        <v>315</v>
      </c>
    </row>
    <row r="75" customFormat="false" ht="12.8" hidden="false" customHeight="false" outlineLevel="0" collapsed="false">
      <c r="A75" s="1" t="s">
        <v>497</v>
      </c>
      <c r="B75" s="0" t="s">
        <v>459</v>
      </c>
      <c r="C75" s="0" t="s">
        <v>462</v>
      </c>
      <c r="D75" s="0" t="s">
        <v>436</v>
      </c>
      <c r="E75" s="0" t="s">
        <v>14</v>
      </c>
      <c r="F75" s="1" t="s">
        <v>481</v>
      </c>
      <c r="G75" s="0" t="s">
        <v>482</v>
      </c>
      <c r="H75" s="0" t="n">
        <v>9</v>
      </c>
      <c r="I75" s="0" t="s">
        <v>461</v>
      </c>
      <c r="J75" s="0" t="s">
        <v>315</v>
      </c>
    </row>
    <row r="76" customFormat="false" ht="12.8" hidden="false" customHeight="false" outlineLevel="0" collapsed="false">
      <c r="A76" s="1" t="s">
        <v>497</v>
      </c>
      <c r="B76" s="0" t="s">
        <v>467</v>
      </c>
      <c r="C76" s="0" t="s">
        <v>471</v>
      </c>
      <c r="D76" s="0" t="s">
        <v>436</v>
      </c>
      <c r="E76" s="0" t="s">
        <v>14</v>
      </c>
      <c r="F76" s="1" t="s">
        <v>468</v>
      </c>
      <c r="G76" s="0" t="s">
        <v>480</v>
      </c>
      <c r="H76" s="0" t="n">
        <v>9</v>
      </c>
      <c r="I76" s="0" t="s">
        <v>461</v>
      </c>
      <c r="J76" s="0" t="s">
        <v>315</v>
      </c>
    </row>
    <row r="77" customFormat="false" ht="12.8" hidden="false" customHeight="false" outlineLevel="0" collapsed="false">
      <c r="A77" s="1" t="s">
        <v>497</v>
      </c>
      <c r="B77" s="0" t="s">
        <v>475</v>
      </c>
      <c r="C77" s="0" t="s">
        <v>458</v>
      </c>
      <c r="D77" s="0" t="s">
        <v>436</v>
      </c>
      <c r="E77" s="0" t="s">
        <v>14</v>
      </c>
      <c r="F77" s="1" t="s">
        <v>478</v>
      </c>
      <c r="G77" s="0" t="s">
        <v>479</v>
      </c>
      <c r="H77" s="0" t="n">
        <v>9</v>
      </c>
      <c r="I77" s="0" t="s">
        <v>461</v>
      </c>
      <c r="J77" s="0" t="s">
        <v>315</v>
      </c>
    </row>
    <row r="78" customFormat="false" ht="12.8" hidden="false" customHeight="false" outlineLevel="0" collapsed="false">
      <c r="A78" s="1" t="s">
        <v>497</v>
      </c>
      <c r="B78" s="0" t="s">
        <v>463</v>
      </c>
      <c r="C78" s="0" t="s">
        <v>466</v>
      </c>
      <c r="D78" s="0" t="s">
        <v>436</v>
      </c>
      <c r="E78" s="0" t="s">
        <v>14</v>
      </c>
      <c r="F78" s="1" t="s">
        <v>464</v>
      </c>
      <c r="G78" s="0" t="s">
        <v>483</v>
      </c>
      <c r="H78" s="0" t="n">
        <v>9</v>
      </c>
      <c r="I78" s="0" t="s">
        <v>461</v>
      </c>
      <c r="J78" s="0" t="s">
        <v>315</v>
      </c>
    </row>
    <row r="79" customFormat="false" ht="12.8" hidden="false" customHeight="false" outlineLevel="0" collapsed="false">
      <c r="A79" s="1" t="s">
        <v>10</v>
      </c>
      <c r="B79" s="0" t="s">
        <v>498</v>
      </c>
      <c r="C79" s="0" t="s">
        <v>499</v>
      </c>
      <c r="D79" s="0" t="s">
        <v>436</v>
      </c>
      <c r="E79" s="0" t="s">
        <v>47</v>
      </c>
      <c r="F79" s="1" t="s">
        <v>25</v>
      </c>
      <c r="G79" s="0" t="s">
        <v>500</v>
      </c>
      <c r="H79" s="0" t="n">
        <v>2</v>
      </c>
      <c r="I79" s="0" t="s">
        <v>204</v>
      </c>
      <c r="J79" s="0" t="s">
        <v>290</v>
      </c>
    </row>
    <row r="80" customFormat="false" ht="12.8" hidden="false" customHeight="false" outlineLevel="0" collapsed="false">
      <c r="A80" s="1" t="s">
        <v>10</v>
      </c>
      <c r="B80" s="0" t="s">
        <v>501</v>
      </c>
      <c r="C80" s="0" t="s">
        <v>345</v>
      </c>
      <c r="D80" s="0" t="s">
        <v>436</v>
      </c>
      <c r="E80" s="0" t="s">
        <v>47</v>
      </c>
      <c r="F80" s="1" t="s">
        <v>380</v>
      </c>
      <c r="G80" s="0" t="s">
        <v>502</v>
      </c>
      <c r="H80" s="0" t="n">
        <v>2</v>
      </c>
      <c r="I80" s="0" t="s">
        <v>204</v>
      </c>
      <c r="J80" s="0" t="s">
        <v>290</v>
      </c>
    </row>
    <row r="81" customFormat="false" ht="12.8" hidden="false" customHeight="false" outlineLevel="0" collapsed="false">
      <c r="A81" s="1" t="s">
        <v>10</v>
      </c>
      <c r="B81" s="0" t="s">
        <v>503</v>
      </c>
      <c r="C81" s="0" t="s">
        <v>372</v>
      </c>
      <c r="D81" s="0" t="s">
        <v>436</v>
      </c>
      <c r="E81" s="0" t="s">
        <v>47</v>
      </c>
      <c r="F81" s="1" t="s">
        <v>31</v>
      </c>
      <c r="G81" s="0" t="s">
        <v>504</v>
      </c>
      <c r="H81" s="0" t="n">
        <v>2</v>
      </c>
      <c r="I81" s="0" t="s">
        <v>204</v>
      </c>
      <c r="J81" s="0" t="s">
        <v>290</v>
      </c>
    </row>
    <row r="82" customFormat="false" ht="12.8" hidden="false" customHeight="false" outlineLevel="0" collapsed="false">
      <c r="A82" s="1" t="s">
        <v>10</v>
      </c>
      <c r="B82" s="0" t="s">
        <v>347</v>
      </c>
      <c r="C82" s="0" t="s">
        <v>375</v>
      </c>
      <c r="D82" s="0" t="s">
        <v>436</v>
      </c>
      <c r="E82" s="0" t="s">
        <v>47</v>
      </c>
      <c r="F82" s="1" t="s">
        <v>15</v>
      </c>
      <c r="G82" s="0" t="s">
        <v>505</v>
      </c>
      <c r="H82" s="0" t="n">
        <v>2</v>
      </c>
      <c r="I82" s="0" t="s">
        <v>204</v>
      </c>
      <c r="J82" s="0" t="s">
        <v>290</v>
      </c>
    </row>
    <row r="83" customFormat="false" ht="12.8" hidden="false" customHeight="false" outlineLevel="0" collapsed="false">
      <c r="A83" s="1" t="s">
        <v>10</v>
      </c>
      <c r="B83" s="0" t="s">
        <v>363</v>
      </c>
      <c r="C83" s="0" t="s">
        <v>506</v>
      </c>
      <c r="D83" s="0" t="s">
        <v>436</v>
      </c>
      <c r="E83" s="0" t="s">
        <v>47</v>
      </c>
      <c r="F83" s="1" t="s">
        <v>369</v>
      </c>
      <c r="G83" s="0" t="s">
        <v>507</v>
      </c>
      <c r="H83" s="0" t="n">
        <v>2</v>
      </c>
      <c r="I83" s="0" t="s">
        <v>204</v>
      </c>
      <c r="J83" s="0" t="s">
        <v>290</v>
      </c>
    </row>
    <row r="84" customFormat="false" ht="12.8" hidden="false" customHeight="false" outlineLevel="0" collapsed="false">
      <c r="A84" s="1" t="s">
        <v>32</v>
      </c>
      <c r="B84" s="0" t="s">
        <v>503</v>
      </c>
      <c r="C84" s="0" t="s">
        <v>501</v>
      </c>
      <c r="D84" s="0" t="s">
        <v>436</v>
      </c>
      <c r="E84" s="0" t="s">
        <v>47</v>
      </c>
      <c r="F84" s="1" t="s">
        <v>31</v>
      </c>
      <c r="G84" s="0" t="s">
        <v>504</v>
      </c>
      <c r="H84" s="0" t="n">
        <v>3</v>
      </c>
      <c r="I84" s="0" t="s">
        <v>204</v>
      </c>
      <c r="J84" s="0" t="s">
        <v>290</v>
      </c>
    </row>
    <row r="85" customFormat="false" ht="12.8" hidden="false" customHeight="false" outlineLevel="0" collapsed="false">
      <c r="A85" s="1" t="s">
        <v>32</v>
      </c>
      <c r="B85" s="0" t="s">
        <v>499</v>
      </c>
      <c r="C85" s="0" t="s">
        <v>363</v>
      </c>
      <c r="D85" s="0" t="s">
        <v>436</v>
      </c>
      <c r="E85" s="0" t="s">
        <v>47</v>
      </c>
      <c r="F85" s="1" t="s">
        <v>21</v>
      </c>
      <c r="G85" s="0" t="s">
        <v>405</v>
      </c>
      <c r="H85" s="0" t="n">
        <v>3</v>
      </c>
      <c r="I85" s="0" t="s">
        <v>204</v>
      </c>
      <c r="J85" s="0" t="s">
        <v>290</v>
      </c>
    </row>
    <row r="86" customFormat="false" ht="12.8" hidden="false" customHeight="false" outlineLevel="0" collapsed="false">
      <c r="A86" s="1" t="s">
        <v>32</v>
      </c>
      <c r="B86" s="0" t="s">
        <v>345</v>
      </c>
      <c r="C86" s="0" t="s">
        <v>498</v>
      </c>
      <c r="D86" s="0" t="s">
        <v>436</v>
      </c>
      <c r="E86" s="0" t="s">
        <v>47</v>
      </c>
      <c r="F86" s="1" t="s">
        <v>31</v>
      </c>
      <c r="G86" s="0" t="s">
        <v>508</v>
      </c>
      <c r="H86" s="0" t="n">
        <v>3</v>
      </c>
      <c r="I86" s="0" t="s">
        <v>204</v>
      </c>
      <c r="J86" s="0" t="s">
        <v>290</v>
      </c>
    </row>
    <row r="87" customFormat="false" ht="12.8" hidden="false" customHeight="false" outlineLevel="0" collapsed="false">
      <c r="A87" s="1" t="s">
        <v>32</v>
      </c>
      <c r="B87" s="0" t="s">
        <v>506</v>
      </c>
      <c r="C87" s="0" t="s">
        <v>347</v>
      </c>
      <c r="D87" s="0" t="s">
        <v>436</v>
      </c>
      <c r="E87" s="0" t="s">
        <v>47</v>
      </c>
      <c r="F87" s="1" t="s">
        <v>31</v>
      </c>
      <c r="G87" s="0" t="s">
        <v>509</v>
      </c>
      <c r="H87" s="0" t="n">
        <v>3</v>
      </c>
      <c r="I87" s="0" t="s">
        <v>204</v>
      </c>
      <c r="J87" s="0" t="s">
        <v>290</v>
      </c>
    </row>
    <row r="88" customFormat="false" ht="12.8" hidden="false" customHeight="false" outlineLevel="0" collapsed="false">
      <c r="A88" s="1" t="s">
        <v>32</v>
      </c>
      <c r="B88" s="0" t="s">
        <v>375</v>
      </c>
      <c r="C88" s="0" t="s">
        <v>372</v>
      </c>
      <c r="D88" s="0" t="s">
        <v>436</v>
      </c>
      <c r="E88" s="0" t="s">
        <v>47</v>
      </c>
      <c r="F88" s="1" t="s">
        <v>55</v>
      </c>
      <c r="G88" s="0" t="s">
        <v>510</v>
      </c>
      <c r="H88" s="0" t="n">
        <v>3</v>
      </c>
      <c r="I88" s="0" t="s">
        <v>204</v>
      </c>
      <c r="J88" s="0" t="s">
        <v>290</v>
      </c>
    </row>
    <row r="89" customFormat="false" ht="12.8" hidden="false" customHeight="false" outlineLevel="0" collapsed="false">
      <c r="A89" s="1" t="s">
        <v>38</v>
      </c>
      <c r="B89" s="0" t="s">
        <v>347</v>
      </c>
      <c r="C89" s="0" t="s">
        <v>499</v>
      </c>
      <c r="D89" s="0" t="s">
        <v>436</v>
      </c>
      <c r="E89" s="0" t="s">
        <v>47</v>
      </c>
      <c r="F89" s="1" t="s">
        <v>15</v>
      </c>
      <c r="G89" s="0" t="s">
        <v>505</v>
      </c>
      <c r="H89" s="0" t="n">
        <v>4</v>
      </c>
      <c r="I89" s="0" t="s">
        <v>204</v>
      </c>
      <c r="J89" s="0" t="s">
        <v>290</v>
      </c>
    </row>
    <row r="90" customFormat="false" ht="12.8" hidden="false" customHeight="false" outlineLevel="0" collapsed="false">
      <c r="A90" s="1" t="s">
        <v>38</v>
      </c>
      <c r="B90" s="0" t="s">
        <v>363</v>
      </c>
      <c r="C90" s="0" t="s">
        <v>345</v>
      </c>
      <c r="D90" s="0" t="s">
        <v>436</v>
      </c>
      <c r="E90" s="0" t="s">
        <v>47</v>
      </c>
      <c r="F90" s="1" t="s">
        <v>369</v>
      </c>
      <c r="G90" s="0" t="s">
        <v>507</v>
      </c>
      <c r="H90" s="0" t="n">
        <v>4</v>
      </c>
      <c r="I90" s="0" t="s">
        <v>204</v>
      </c>
      <c r="J90" s="0" t="s">
        <v>290</v>
      </c>
    </row>
    <row r="91" customFormat="false" ht="12.8" hidden="false" customHeight="false" outlineLevel="0" collapsed="false">
      <c r="A91" s="1" t="s">
        <v>38</v>
      </c>
      <c r="B91" s="0" t="s">
        <v>372</v>
      </c>
      <c r="C91" s="0" t="s">
        <v>501</v>
      </c>
      <c r="D91" s="0" t="s">
        <v>436</v>
      </c>
      <c r="E91" s="0" t="s">
        <v>47</v>
      </c>
      <c r="F91" s="1" t="s">
        <v>15</v>
      </c>
      <c r="G91" s="0" t="s">
        <v>511</v>
      </c>
      <c r="H91" s="0" t="n">
        <v>4</v>
      </c>
      <c r="I91" s="0" t="s">
        <v>204</v>
      </c>
      <c r="J91" s="0" t="s">
        <v>290</v>
      </c>
    </row>
    <row r="92" customFormat="false" ht="12.8" hidden="false" customHeight="false" outlineLevel="0" collapsed="false">
      <c r="A92" s="1" t="s">
        <v>38</v>
      </c>
      <c r="B92" s="0" t="s">
        <v>498</v>
      </c>
      <c r="C92" s="0" t="s">
        <v>503</v>
      </c>
      <c r="D92" s="0" t="s">
        <v>436</v>
      </c>
      <c r="E92" s="0" t="s">
        <v>47</v>
      </c>
      <c r="F92" s="1" t="s">
        <v>25</v>
      </c>
      <c r="G92" s="0" t="s">
        <v>500</v>
      </c>
      <c r="H92" s="0" t="n">
        <v>4</v>
      </c>
      <c r="I92" s="0" t="s">
        <v>204</v>
      </c>
      <c r="J92" s="0" t="s">
        <v>290</v>
      </c>
    </row>
    <row r="93" customFormat="false" ht="12.8" hidden="false" customHeight="false" outlineLevel="0" collapsed="false">
      <c r="A93" s="1" t="s">
        <v>38</v>
      </c>
      <c r="B93" s="0" t="s">
        <v>375</v>
      </c>
      <c r="C93" s="0" t="s">
        <v>506</v>
      </c>
      <c r="D93" s="0" t="s">
        <v>436</v>
      </c>
      <c r="E93" s="0" t="s">
        <v>47</v>
      </c>
      <c r="F93" s="1" t="s">
        <v>55</v>
      </c>
      <c r="G93" s="0" t="s">
        <v>510</v>
      </c>
      <c r="H93" s="0" t="n">
        <v>4</v>
      </c>
      <c r="I93" s="0" t="s">
        <v>204</v>
      </c>
      <c r="J93" s="0" t="s">
        <v>290</v>
      </c>
    </row>
    <row r="94" customFormat="false" ht="12.8" hidden="false" customHeight="false" outlineLevel="0" collapsed="false">
      <c r="A94" s="1" t="s">
        <v>39</v>
      </c>
      <c r="B94" s="0" t="s">
        <v>503</v>
      </c>
      <c r="C94" s="0" t="s">
        <v>363</v>
      </c>
      <c r="D94" s="0" t="s">
        <v>436</v>
      </c>
      <c r="E94" s="0" t="s">
        <v>47</v>
      </c>
      <c r="F94" s="1" t="s">
        <v>31</v>
      </c>
      <c r="G94" s="0" t="s">
        <v>504</v>
      </c>
      <c r="H94" s="0" t="n">
        <v>5</v>
      </c>
      <c r="I94" s="0" t="s">
        <v>204</v>
      </c>
      <c r="J94" s="0" t="s">
        <v>290</v>
      </c>
    </row>
    <row r="95" customFormat="false" ht="12.8" hidden="false" customHeight="false" outlineLevel="0" collapsed="false">
      <c r="A95" s="1" t="s">
        <v>39</v>
      </c>
      <c r="B95" s="0" t="s">
        <v>501</v>
      </c>
      <c r="C95" s="0" t="s">
        <v>498</v>
      </c>
      <c r="D95" s="0" t="s">
        <v>436</v>
      </c>
      <c r="E95" s="0" t="s">
        <v>47</v>
      </c>
      <c r="F95" s="1" t="s">
        <v>380</v>
      </c>
      <c r="G95" s="0" t="s">
        <v>502</v>
      </c>
      <c r="H95" s="0" t="n">
        <v>5</v>
      </c>
      <c r="I95" s="0" t="s">
        <v>204</v>
      </c>
      <c r="J95" s="0" t="s">
        <v>290</v>
      </c>
    </row>
    <row r="96" customFormat="false" ht="12.8" hidden="false" customHeight="false" outlineLevel="0" collapsed="false">
      <c r="A96" s="1" t="s">
        <v>39</v>
      </c>
      <c r="B96" s="0" t="s">
        <v>345</v>
      </c>
      <c r="C96" s="0" t="s">
        <v>347</v>
      </c>
      <c r="D96" s="0" t="s">
        <v>436</v>
      </c>
      <c r="E96" s="0" t="s">
        <v>47</v>
      </c>
      <c r="F96" s="1" t="s">
        <v>31</v>
      </c>
      <c r="G96" s="0" t="s">
        <v>508</v>
      </c>
      <c r="H96" s="0" t="n">
        <v>5</v>
      </c>
      <c r="I96" s="0" t="s">
        <v>204</v>
      </c>
      <c r="J96" s="0" t="s">
        <v>290</v>
      </c>
    </row>
    <row r="97" customFormat="false" ht="12.8" hidden="false" customHeight="false" outlineLevel="0" collapsed="false">
      <c r="A97" s="1" t="s">
        <v>39</v>
      </c>
      <c r="B97" s="0" t="s">
        <v>506</v>
      </c>
      <c r="C97" s="0" t="s">
        <v>372</v>
      </c>
      <c r="D97" s="0" t="s">
        <v>436</v>
      </c>
      <c r="E97" s="0" t="s">
        <v>47</v>
      </c>
      <c r="F97" s="1" t="s">
        <v>31</v>
      </c>
      <c r="G97" s="0" t="s">
        <v>509</v>
      </c>
      <c r="H97" s="0" t="n">
        <v>5</v>
      </c>
      <c r="I97" s="0" t="s">
        <v>204</v>
      </c>
      <c r="J97" s="0" t="s">
        <v>290</v>
      </c>
    </row>
    <row r="98" customFormat="false" ht="12.8" hidden="false" customHeight="false" outlineLevel="0" collapsed="false">
      <c r="A98" s="1" t="s">
        <v>39</v>
      </c>
      <c r="B98" s="0" t="s">
        <v>499</v>
      </c>
      <c r="C98" s="0" t="s">
        <v>375</v>
      </c>
      <c r="D98" s="0" t="s">
        <v>436</v>
      </c>
      <c r="E98" s="0" t="s">
        <v>47</v>
      </c>
      <c r="F98" s="1" t="s">
        <v>21</v>
      </c>
      <c r="G98" s="0" t="s">
        <v>405</v>
      </c>
      <c r="H98" s="0" t="n">
        <v>5</v>
      </c>
      <c r="I98" s="0" t="s">
        <v>204</v>
      </c>
      <c r="J98" s="0" t="s">
        <v>290</v>
      </c>
    </row>
    <row r="99" customFormat="false" ht="12.8" hidden="false" customHeight="false" outlineLevel="0" collapsed="false">
      <c r="A99" s="1" t="s">
        <v>40</v>
      </c>
      <c r="B99" s="0" t="s">
        <v>506</v>
      </c>
      <c r="C99" s="0" t="s">
        <v>499</v>
      </c>
      <c r="D99" s="0" t="s">
        <v>436</v>
      </c>
      <c r="E99" s="0" t="s">
        <v>47</v>
      </c>
      <c r="F99" s="1" t="s">
        <v>31</v>
      </c>
      <c r="G99" s="0" t="s">
        <v>509</v>
      </c>
      <c r="H99" s="0" t="n">
        <v>6</v>
      </c>
      <c r="I99" s="0" t="s">
        <v>204</v>
      </c>
      <c r="J99" s="0" t="s">
        <v>290</v>
      </c>
    </row>
    <row r="100" customFormat="false" ht="12.8" hidden="false" customHeight="false" outlineLevel="0" collapsed="false">
      <c r="A100" s="1" t="s">
        <v>40</v>
      </c>
      <c r="B100" s="0" t="s">
        <v>375</v>
      </c>
      <c r="C100" s="0" t="s">
        <v>345</v>
      </c>
      <c r="D100" s="0" t="s">
        <v>436</v>
      </c>
      <c r="E100" s="0" t="s">
        <v>47</v>
      </c>
      <c r="F100" s="1" t="s">
        <v>55</v>
      </c>
      <c r="G100" s="0" t="s">
        <v>510</v>
      </c>
      <c r="H100" s="0" t="n">
        <v>6</v>
      </c>
      <c r="I100" s="0" t="s">
        <v>204</v>
      </c>
      <c r="J100" s="0" t="s">
        <v>290</v>
      </c>
    </row>
    <row r="101" customFormat="false" ht="12.8" hidden="false" customHeight="false" outlineLevel="0" collapsed="false">
      <c r="A101" s="1" t="s">
        <v>40</v>
      </c>
      <c r="B101" s="0" t="s">
        <v>363</v>
      </c>
      <c r="C101" s="0" t="s">
        <v>501</v>
      </c>
      <c r="D101" s="0" t="s">
        <v>436</v>
      </c>
      <c r="E101" s="0" t="s">
        <v>47</v>
      </c>
      <c r="F101" s="1" t="s">
        <v>369</v>
      </c>
      <c r="G101" s="0" t="s">
        <v>507</v>
      </c>
      <c r="H101" s="0" t="n">
        <v>6</v>
      </c>
      <c r="I101" s="0" t="s">
        <v>204</v>
      </c>
      <c r="J101" s="0" t="s">
        <v>290</v>
      </c>
    </row>
    <row r="102" customFormat="false" ht="12.8" hidden="false" customHeight="false" outlineLevel="0" collapsed="false">
      <c r="A102" s="1" t="s">
        <v>40</v>
      </c>
      <c r="B102" s="0" t="s">
        <v>372</v>
      </c>
      <c r="C102" s="0" t="s">
        <v>498</v>
      </c>
      <c r="D102" s="0" t="s">
        <v>436</v>
      </c>
      <c r="E102" s="0" t="s">
        <v>47</v>
      </c>
      <c r="F102" s="1" t="s">
        <v>15</v>
      </c>
      <c r="G102" s="0" t="s">
        <v>511</v>
      </c>
      <c r="H102" s="0" t="n">
        <v>6</v>
      </c>
      <c r="I102" s="0" t="s">
        <v>204</v>
      </c>
      <c r="J102" s="0" t="s">
        <v>290</v>
      </c>
    </row>
    <row r="103" customFormat="false" ht="12.8" hidden="false" customHeight="false" outlineLevel="0" collapsed="false">
      <c r="A103" s="1" t="s">
        <v>40</v>
      </c>
      <c r="B103" s="0" t="s">
        <v>347</v>
      </c>
      <c r="C103" s="0" t="s">
        <v>503</v>
      </c>
      <c r="D103" s="0" t="s">
        <v>436</v>
      </c>
      <c r="E103" s="0" t="s">
        <v>47</v>
      </c>
      <c r="F103" s="1" t="s">
        <v>15</v>
      </c>
      <c r="G103" s="0" t="s">
        <v>505</v>
      </c>
      <c r="H103" s="0" t="n">
        <v>6</v>
      </c>
      <c r="I103" s="0" t="s">
        <v>204</v>
      </c>
      <c r="J103" s="0" t="s">
        <v>290</v>
      </c>
    </row>
    <row r="104" customFormat="false" ht="12.8" hidden="false" customHeight="false" outlineLevel="0" collapsed="false">
      <c r="A104" s="1" t="s">
        <v>41</v>
      </c>
      <c r="B104" s="0" t="s">
        <v>498</v>
      </c>
      <c r="C104" s="0" t="s">
        <v>363</v>
      </c>
      <c r="D104" s="0" t="s">
        <v>436</v>
      </c>
      <c r="E104" s="0" t="s">
        <v>47</v>
      </c>
      <c r="F104" s="1" t="s">
        <v>25</v>
      </c>
      <c r="G104" s="0" t="s">
        <v>500</v>
      </c>
      <c r="H104" s="0" t="n">
        <v>7</v>
      </c>
      <c r="I104" s="0" t="s">
        <v>204</v>
      </c>
      <c r="J104" s="0" t="s">
        <v>290</v>
      </c>
    </row>
    <row r="105" customFormat="false" ht="12.8" hidden="false" customHeight="false" outlineLevel="0" collapsed="false">
      <c r="A105" s="1" t="s">
        <v>41</v>
      </c>
      <c r="B105" s="0" t="s">
        <v>501</v>
      </c>
      <c r="C105" s="0" t="s">
        <v>347</v>
      </c>
      <c r="D105" s="0" t="s">
        <v>436</v>
      </c>
      <c r="E105" s="0" t="s">
        <v>47</v>
      </c>
      <c r="F105" s="1" t="s">
        <v>380</v>
      </c>
      <c r="G105" s="0" t="s">
        <v>502</v>
      </c>
      <c r="H105" s="0" t="n">
        <v>7</v>
      </c>
      <c r="I105" s="0" t="s">
        <v>204</v>
      </c>
      <c r="J105" s="0" t="s">
        <v>290</v>
      </c>
    </row>
    <row r="106" customFormat="false" ht="12.8" hidden="false" customHeight="false" outlineLevel="0" collapsed="false">
      <c r="A106" s="1" t="s">
        <v>41</v>
      </c>
      <c r="B106" s="0" t="s">
        <v>499</v>
      </c>
      <c r="C106" s="0" t="s">
        <v>372</v>
      </c>
      <c r="D106" s="0" t="s">
        <v>436</v>
      </c>
      <c r="E106" s="0" t="s">
        <v>47</v>
      </c>
      <c r="F106" s="1" t="s">
        <v>21</v>
      </c>
      <c r="G106" s="0" t="s">
        <v>405</v>
      </c>
      <c r="H106" s="0" t="n">
        <v>7</v>
      </c>
      <c r="I106" s="0" t="s">
        <v>204</v>
      </c>
      <c r="J106" s="0" t="s">
        <v>290</v>
      </c>
    </row>
    <row r="107" customFormat="false" ht="12.8" hidden="false" customHeight="false" outlineLevel="0" collapsed="false">
      <c r="A107" s="1" t="s">
        <v>41</v>
      </c>
      <c r="B107" s="0" t="s">
        <v>503</v>
      </c>
      <c r="C107" s="0" t="s">
        <v>375</v>
      </c>
      <c r="D107" s="0" t="s">
        <v>436</v>
      </c>
      <c r="E107" s="0" t="s">
        <v>47</v>
      </c>
      <c r="F107" s="1" t="s">
        <v>31</v>
      </c>
      <c r="G107" s="0" t="s">
        <v>504</v>
      </c>
      <c r="H107" s="0" t="n">
        <v>7</v>
      </c>
      <c r="I107" s="0" t="s">
        <v>204</v>
      </c>
      <c r="J107" s="0" t="s">
        <v>290</v>
      </c>
    </row>
    <row r="108" customFormat="false" ht="12.8" hidden="false" customHeight="false" outlineLevel="0" collapsed="false">
      <c r="A108" s="1" t="s">
        <v>41</v>
      </c>
      <c r="B108" s="0" t="s">
        <v>345</v>
      </c>
      <c r="C108" s="0" t="s">
        <v>506</v>
      </c>
      <c r="D108" s="0" t="s">
        <v>436</v>
      </c>
      <c r="E108" s="0" t="s">
        <v>47</v>
      </c>
      <c r="F108" s="1" t="s">
        <v>31</v>
      </c>
      <c r="G108" s="0" t="s">
        <v>508</v>
      </c>
      <c r="H108" s="0" t="n">
        <v>7</v>
      </c>
      <c r="I108" s="0" t="s">
        <v>204</v>
      </c>
      <c r="J108" s="0" t="s">
        <v>290</v>
      </c>
    </row>
    <row r="109" customFormat="false" ht="12.8" hidden="false" customHeight="false" outlineLevel="0" collapsed="false">
      <c r="A109" s="1" t="s">
        <v>42</v>
      </c>
      <c r="B109" s="0" t="s">
        <v>499</v>
      </c>
      <c r="C109" s="0" t="s">
        <v>345</v>
      </c>
      <c r="D109" s="0" t="s">
        <v>436</v>
      </c>
      <c r="E109" s="0" t="s">
        <v>47</v>
      </c>
      <c r="F109" s="1" t="s">
        <v>21</v>
      </c>
      <c r="G109" s="0" t="s">
        <v>405</v>
      </c>
      <c r="H109" s="0" t="n">
        <v>8</v>
      </c>
      <c r="I109" s="0" t="s">
        <v>204</v>
      </c>
      <c r="J109" s="0" t="s">
        <v>290</v>
      </c>
    </row>
    <row r="110" customFormat="false" ht="12.8" hidden="false" customHeight="false" outlineLevel="0" collapsed="false">
      <c r="A110" s="1" t="s">
        <v>42</v>
      </c>
      <c r="B110" s="0" t="s">
        <v>375</v>
      </c>
      <c r="C110" s="0" t="s">
        <v>501</v>
      </c>
      <c r="D110" s="0" t="s">
        <v>436</v>
      </c>
      <c r="E110" s="0" t="s">
        <v>47</v>
      </c>
      <c r="F110" s="1" t="s">
        <v>55</v>
      </c>
      <c r="G110" s="0" t="s">
        <v>510</v>
      </c>
      <c r="H110" s="0" t="n">
        <v>8</v>
      </c>
      <c r="I110" s="0" t="s">
        <v>204</v>
      </c>
      <c r="J110" s="0" t="s">
        <v>290</v>
      </c>
    </row>
    <row r="111" customFormat="false" ht="12.8" hidden="false" customHeight="false" outlineLevel="0" collapsed="false">
      <c r="A111" s="1" t="s">
        <v>42</v>
      </c>
      <c r="B111" s="0" t="s">
        <v>372</v>
      </c>
      <c r="C111" s="0" t="s">
        <v>363</v>
      </c>
      <c r="D111" s="0" t="s">
        <v>436</v>
      </c>
      <c r="E111" s="0" t="s">
        <v>47</v>
      </c>
      <c r="F111" s="1" t="s">
        <v>15</v>
      </c>
      <c r="G111" s="0" t="s">
        <v>511</v>
      </c>
      <c r="H111" s="0" t="n">
        <v>8</v>
      </c>
      <c r="I111" s="0" t="s">
        <v>204</v>
      </c>
      <c r="J111" s="0" t="s">
        <v>290</v>
      </c>
    </row>
    <row r="112" customFormat="false" ht="12.8" hidden="false" customHeight="false" outlineLevel="0" collapsed="false">
      <c r="A112" s="1" t="s">
        <v>42</v>
      </c>
      <c r="B112" s="0" t="s">
        <v>347</v>
      </c>
      <c r="C112" s="0" t="s">
        <v>498</v>
      </c>
      <c r="D112" s="0" t="s">
        <v>436</v>
      </c>
      <c r="E112" s="0" t="s">
        <v>47</v>
      </c>
      <c r="F112" s="1" t="s">
        <v>15</v>
      </c>
      <c r="G112" s="0" t="s">
        <v>505</v>
      </c>
      <c r="H112" s="0" t="n">
        <v>8</v>
      </c>
      <c r="I112" s="0" t="s">
        <v>204</v>
      </c>
      <c r="J112" s="0" t="s">
        <v>290</v>
      </c>
    </row>
    <row r="113" customFormat="false" ht="12.8" hidden="false" customHeight="false" outlineLevel="0" collapsed="false">
      <c r="A113" s="1" t="s">
        <v>42</v>
      </c>
      <c r="B113" s="0" t="s">
        <v>506</v>
      </c>
      <c r="C113" s="0" t="s">
        <v>503</v>
      </c>
      <c r="D113" s="0" t="s">
        <v>436</v>
      </c>
      <c r="E113" s="0" t="s">
        <v>47</v>
      </c>
      <c r="F113" s="1" t="s">
        <v>31</v>
      </c>
      <c r="G113" s="0" t="s">
        <v>509</v>
      </c>
      <c r="H113" s="0" t="n">
        <v>8</v>
      </c>
      <c r="I113" s="0" t="s">
        <v>204</v>
      </c>
      <c r="J113" s="0" t="s">
        <v>290</v>
      </c>
    </row>
    <row r="114" customFormat="false" ht="12.8" hidden="false" customHeight="false" outlineLevel="0" collapsed="false">
      <c r="A114" s="1" t="s">
        <v>43</v>
      </c>
      <c r="B114" s="0" t="s">
        <v>503</v>
      </c>
      <c r="C114" s="0" t="s">
        <v>499</v>
      </c>
      <c r="D114" s="0" t="s">
        <v>436</v>
      </c>
      <c r="E114" s="0" t="s">
        <v>47</v>
      </c>
      <c r="F114" s="1" t="s">
        <v>31</v>
      </c>
      <c r="G114" s="0" t="s">
        <v>504</v>
      </c>
      <c r="H114" s="0" t="n">
        <v>9</v>
      </c>
      <c r="I114" s="0" t="s">
        <v>204</v>
      </c>
      <c r="J114" s="0" t="s">
        <v>290</v>
      </c>
    </row>
    <row r="115" customFormat="false" ht="12.8" hidden="false" customHeight="false" outlineLevel="0" collapsed="false">
      <c r="A115" s="1" t="s">
        <v>43</v>
      </c>
      <c r="B115" s="0" t="s">
        <v>363</v>
      </c>
      <c r="C115" s="0" t="s">
        <v>347</v>
      </c>
      <c r="D115" s="0" t="s">
        <v>436</v>
      </c>
      <c r="E115" s="0" t="s">
        <v>47</v>
      </c>
      <c r="F115" s="1" t="s">
        <v>369</v>
      </c>
      <c r="G115" s="0" t="s">
        <v>507</v>
      </c>
      <c r="H115" s="0" t="n">
        <v>9</v>
      </c>
      <c r="I115" s="0" t="s">
        <v>204</v>
      </c>
      <c r="J115" s="0" t="s">
        <v>290</v>
      </c>
    </row>
    <row r="116" customFormat="false" ht="12.8" hidden="false" customHeight="false" outlineLevel="0" collapsed="false">
      <c r="A116" s="1" t="s">
        <v>43</v>
      </c>
      <c r="B116" s="0" t="s">
        <v>345</v>
      </c>
      <c r="C116" s="0" t="s">
        <v>372</v>
      </c>
      <c r="D116" s="0" t="s">
        <v>436</v>
      </c>
      <c r="E116" s="0" t="s">
        <v>47</v>
      </c>
      <c r="F116" s="1" t="s">
        <v>31</v>
      </c>
      <c r="G116" s="0" t="s">
        <v>508</v>
      </c>
      <c r="H116" s="0" t="n">
        <v>9</v>
      </c>
      <c r="I116" s="0" t="s">
        <v>204</v>
      </c>
      <c r="J116" s="0" t="s">
        <v>290</v>
      </c>
    </row>
    <row r="117" customFormat="false" ht="12.8" hidden="false" customHeight="false" outlineLevel="0" collapsed="false">
      <c r="A117" s="1" t="s">
        <v>43</v>
      </c>
      <c r="B117" s="0" t="s">
        <v>498</v>
      </c>
      <c r="C117" s="0" t="s">
        <v>375</v>
      </c>
      <c r="D117" s="0" t="s">
        <v>436</v>
      </c>
      <c r="E117" s="0" t="s">
        <v>47</v>
      </c>
      <c r="F117" s="1" t="s">
        <v>25</v>
      </c>
      <c r="G117" s="0" t="s">
        <v>500</v>
      </c>
      <c r="H117" s="0" t="n">
        <v>9</v>
      </c>
      <c r="I117" s="0" t="s">
        <v>204</v>
      </c>
      <c r="J117" s="0" t="s">
        <v>290</v>
      </c>
    </row>
    <row r="118" customFormat="false" ht="12.8" hidden="false" customHeight="false" outlineLevel="0" collapsed="false">
      <c r="A118" s="1" t="s">
        <v>43</v>
      </c>
      <c r="B118" s="0" t="s">
        <v>501</v>
      </c>
      <c r="C118" s="0" t="s">
        <v>506</v>
      </c>
      <c r="D118" s="0" t="s">
        <v>436</v>
      </c>
      <c r="E118" s="0" t="s">
        <v>47</v>
      </c>
      <c r="F118" s="1" t="s">
        <v>380</v>
      </c>
      <c r="G118" s="0" t="s">
        <v>502</v>
      </c>
      <c r="H118" s="0" t="n">
        <v>9</v>
      </c>
      <c r="I118" s="0" t="s">
        <v>204</v>
      </c>
      <c r="J118" s="0" t="s">
        <v>290</v>
      </c>
    </row>
    <row r="119" customFormat="false" ht="12.8" hidden="false" customHeight="false" outlineLevel="0" collapsed="false">
      <c r="A119" s="1" t="s">
        <v>10</v>
      </c>
      <c r="B119" s="0" t="s">
        <v>512</v>
      </c>
      <c r="C119" s="0" t="s">
        <v>513</v>
      </c>
      <c r="D119" s="0" t="s">
        <v>436</v>
      </c>
      <c r="E119" s="0" t="s">
        <v>311</v>
      </c>
      <c r="F119" s="1" t="s">
        <v>31</v>
      </c>
      <c r="G119" s="0" t="s">
        <v>514</v>
      </c>
      <c r="H119" s="0" t="n">
        <v>2</v>
      </c>
      <c r="I119" s="0" t="s">
        <v>515</v>
      </c>
      <c r="J119" s="0" t="s">
        <v>290</v>
      </c>
    </row>
    <row r="120" customFormat="false" ht="12.8" hidden="false" customHeight="false" outlineLevel="0" collapsed="false">
      <c r="A120" s="1" t="s">
        <v>10</v>
      </c>
      <c r="B120" s="0" t="s">
        <v>390</v>
      </c>
      <c r="C120" s="0" t="s">
        <v>371</v>
      </c>
      <c r="D120" s="0" t="s">
        <v>436</v>
      </c>
      <c r="E120" s="0" t="s">
        <v>311</v>
      </c>
      <c r="F120" s="1" t="s">
        <v>31</v>
      </c>
      <c r="G120" s="0" t="s">
        <v>415</v>
      </c>
      <c r="H120" s="0" t="n">
        <v>2</v>
      </c>
      <c r="I120" s="0" t="s">
        <v>515</v>
      </c>
      <c r="J120" s="0" t="s">
        <v>290</v>
      </c>
    </row>
    <row r="121" customFormat="false" ht="12.8" hidden="false" customHeight="false" outlineLevel="0" collapsed="false">
      <c r="A121" s="1" t="s">
        <v>10</v>
      </c>
      <c r="B121" s="0" t="s">
        <v>395</v>
      </c>
      <c r="C121" s="0" t="s">
        <v>399</v>
      </c>
      <c r="D121" s="0" t="s">
        <v>436</v>
      </c>
      <c r="E121" s="0" t="s">
        <v>311</v>
      </c>
      <c r="F121" s="1" t="s">
        <v>21</v>
      </c>
      <c r="G121" s="0" t="s">
        <v>397</v>
      </c>
      <c r="H121" s="0" t="n">
        <v>2</v>
      </c>
      <c r="I121" s="0" t="s">
        <v>515</v>
      </c>
      <c r="J121" s="0" t="s">
        <v>290</v>
      </c>
    </row>
    <row r="122" customFormat="false" ht="12.8" hidden="false" customHeight="false" outlineLevel="0" collapsed="false">
      <c r="A122" s="1" t="s">
        <v>10</v>
      </c>
      <c r="B122" s="0" t="s">
        <v>516</v>
      </c>
      <c r="C122" s="0" t="s">
        <v>517</v>
      </c>
      <c r="D122" s="0" t="s">
        <v>436</v>
      </c>
      <c r="E122" s="0" t="s">
        <v>311</v>
      </c>
      <c r="F122" s="1" t="s">
        <v>369</v>
      </c>
      <c r="G122" s="0" t="s">
        <v>518</v>
      </c>
      <c r="H122" s="0" t="n">
        <v>2</v>
      </c>
      <c r="I122" s="0" t="s">
        <v>515</v>
      </c>
      <c r="J122" s="0" t="s">
        <v>290</v>
      </c>
    </row>
    <row r="123" customFormat="false" ht="12.8" hidden="false" customHeight="false" outlineLevel="0" collapsed="false">
      <c r="A123" s="1" t="s">
        <v>10</v>
      </c>
      <c r="B123" s="0" t="s">
        <v>393</v>
      </c>
      <c r="C123" s="0" t="s">
        <v>519</v>
      </c>
      <c r="D123" s="0" t="s">
        <v>436</v>
      </c>
      <c r="E123" s="0" t="s">
        <v>311</v>
      </c>
      <c r="F123" s="1" t="s">
        <v>426</v>
      </c>
      <c r="G123" s="0" t="s">
        <v>520</v>
      </c>
      <c r="H123" s="0" t="n">
        <v>2</v>
      </c>
      <c r="I123" s="0" t="s">
        <v>515</v>
      </c>
      <c r="J123" s="0" t="s">
        <v>290</v>
      </c>
    </row>
    <row r="124" customFormat="false" ht="12.8" hidden="false" customHeight="false" outlineLevel="0" collapsed="false">
      <c r="A124" s="1" t="s">
        <v>32</v>
      </c>
      <c r="B124" s="0" t="s">
        <v>399</v>
      </c>
      <c r="C124" s="0" t="s">
        <v>512</v>
      </c>
      <c r="D124" s="0" t="s">
        <v>436</v>
      </c>
      <c r="E124" s="0" t="s">
        <v>311</v>
      </c>
      <c r="F124" s="1" t="s">
        <v>31</v>
      </c>
      <c r="G124" s="0" t="s">
        <v>402</v>
      </c>
      <c r="H124" s="0" t="n">
        <v>3</v>
      </c>
      <c r="I124" s="0" t="s">
        <v>515</v>
      </c>
      <c r="J124" s="0" t="s">
        <v>290</v>
      </c>
    </row>
    <row r="125" customFormat="false" ht="12.8" hidden="false" customHeight="false" outlineLevel="0" collapsed="false">
      <c r="A125" s="1" t="s">
        <v>32</v>
      </c>
      <c r="B125" s="0" t="s">
        <v>517</v>
      </c>
      <c r="C125" s="0" t="s">
        <v>371</v>
      </c>
      <c r="D125" s="0" t="s">
        <v>436</v>
      </c>
      <c r="E125" s="0" t="s">
        <v>311</v>
      </c>
      <c r="F125" s="1" t="s">
        <v>21</v>
      </c>
      <c r="G125" s="0" t="s">
        <v>521</v>
      </c>
      <c r="H125" s="0" t="n">
        <v>3</v>
      </c>
      <c r="I125" s="0" t="s">
        <v>515</v>
      </c>
      <c r="J125" s="0" t="s">
        <v>290</v>
      </c>
    </row>
    <row r="126" customFormat="false" ht="12.8" hidden="false" customHeight="false" outlineLevel="0" collapsed="false">
      <c r="A126" s="1" t="s">
        <v>429</v>
      </c>
      <c r="B126" s="0" t="s">
        <v>519</v>
      </c>
      <c r="C126" s="0" t="s">
        <v>516</v>
      </c>
      <c r="D126" s="0" t="s">
        <v>436</v>
      </c>
      <c r="E126" s="0" t="s">
        <v>311</v>
      </c>
      <c r="F126" s="1" t="s">
        <v>422</v>
      </c>
      <c r="G126" s="0" t="s">
        <v>522</v>
      </c>
      <c r="H126" s="0" t="n">
        <v>3</v>
      </c>
      <c r="I126" s="0" t="s">
        <v>515</v>
      </c>
      <c r="J126" s="0" t="s">
        <v>290</v>
      </c>
    </row>
    <row r="127" customFormat="false" ht="12.8" hidden="false" customHeight="false" outlineLevel="0" collapsed="false">
      <c r="A127" s="1" t="s">
        <v>32</v>
      </c>
      <c r="B127" s="0" t="s">
        <v>513</v>
      </c>
      <c r="C127" s="0" t="s">
        <v>393</v>
      </c>
      <c r="D127" s="0" t="s">
        <v>436</v>
      </c>
      <c r="E127" s="0" t="s">
        <v>311</v>
      </c>
      <c r="F127" s="1" t="s">
        <v>369</v>
      </c>
      <c r="G127" s="0" t="s">
        <v>523</v>
      </c>
      <c r="H127" s="0" t="n">
        <v>3</v>
      </c>
      <c r="I127" s="0" t="s">
        <v>515</v>
      </c>
      <c r="J127" s="0" t="s">
        <v>290</v>
      </c>
    </row>
    <row r="128" customFormat="false" ht="12.8" hidden="false" customHeight="false" outlineLevel="0" collapsed="false">
      <c r="A128" s="1" t="s">
        <v>32</v>
      </c>
      <c r="B128" s="0" t="s">
        <v>390</v>
      </c>
      <c r="C128" s="0" t="s">
        <v>395</v>
      </c>
      <c r="D128" s="0" t="s">
        <v>436</v>
      </c>
      <c r="E128" s="0" t="s">
        <v>311</v>
      </c>
      <c r="F128" s="1" t="s">
        <v>31</v>
      </c>
      <c r="G128" s="0" t="s">
        <v>415</v>
      </c>
      <c r="H128" s="0" t="n">
        <v>3</v>
      </c>
      <c r="I128" s="0" t="s">
        <v>515</v>
      </c>
      <c r="J128" s="0" t="s">
        <v>290</v>
      </c>
    </row>
    <row r="129" customFormat="false" ht="12.8" hidden="false" customHeight="false" outlineLevel="0" collapsed="false">
      <c r="A129" s="1" t="s">
        <v>38</v>
      </c>
      <c r="B129" s="0" t="s">
        <v>512</v>
      </c>
      <c r="C129" s="0" t="s">
        <v>390</v>
      </c>
      <c r="D129" s="0" t="s">
        <v>436</v>
      </c>
      <c r="E129" s="0" t="s">
        <v>311</v>
      </c>
      <c r="F129" s="1" t="s">
        <v>31</v>
      </c>
      <c r="G129" s="0" t="s">
        <v>514</v>
      </c>
      <c r="H129" s="0" t="n">
        <v>4</v>
      </c>
      <c r="I129" s="0" t="s">
        <v>515</v>
      </c>
      <c r="J129" s="0" t="s">
        <v>290</v>
      </c>
    </row>
    <row r="130" customFormat="false" ht="12.8" hidden="false" customHeight="false" outlineLevel="0" collapsed="false">
      <c r="A130" s="1" t="s">
        <v>38</v>
      </c>
      <c r="B130" s="0" t="s">
        <v>516</v>
      </c>
      <c r="C130" s="0" t="s">
        <v>513</v>
      </c>
      <c r="D130" s="0" t="s">
        <v>436</v>
      </c>
      <c r="E130" s="0" t="s">
        <v>311</v>
      </c>
      <c r="F130" s="1" t="s">
        <v>369</v>
      </c>
      <c r="G130" s="0" t="s">
        <v>518</v>
      </c>
      <c r="H130" s="0" t="n">
        <v>4</v>
      </c>
      <c r="I130" s="0" t="s">
        <v>515</v>
      </c>
      <c r="J130" s="0" t="s">
        <v>290</v>
      </c>
    </row>
    <row r="131" customFormat="false" ht="12.8" hidden="false" customHeight="false" outlineLevel="0" collapsed="false">
      <c r="A131" s="1" t="s">
        <v>38</v>
      </c>
      <c r="B131" s="0" t="s">
        <v>393</v>
      </c>
      <c r="C131" s="0" t="s">
        <v>399</v>
      </c>
      <c r="D131" s="0" t="s">
        <v>436</v>
      </c>
      <c r="E131" s="0" t="s">
        <v>311</v>
      </c>
      <c r="F131" s="1" t="s">
        <v>426</v>
      </c>
      <c r="G131" s="0" t="s">
        <v>520</v>
      </c>
      <c r="H131" s="0" t="n">
        <v>4</v>
      </c>
      <c r="I131" s="0" t="s">
        <v>515</v>
      </c>
      <c r="J131" s="0" t="s">
        <v>290</v>
      </c>
    </row>
    <row r="132" customFormat="false" ht="12.8" hidden="false" customHeight="false" outlineLevel="0" collapsed="false">
      <c r="A132" s="1" t="s">
        <v>38</v>
      </c>
      <c r="B132" s="0" t="s">
        <v>517</v>
      </c>
      <c r="C132" s="0" t="s">
        <v>519</v>
      </c>
      <c r="D132" s="0" t="s">
        <v>436</v>
      </c>
      <c r="E132" s="0" t="s">
        <v>311</v>
      </c>
      <c r="F132" s="1" t="s">
        <v>21</v>
      </c>
      <c r="G132" s="0" t="s">
        <v>521</v>
      </c>
      <c r="H132" s="0" t="n">
        <v>4</v>
      </c>
      <c r="I132" s="0" t="s">
        <v>515</v>
      </c>
      <c r="J132" s="0" t="s">
        <v>290</v>
      </c>
    </row>
    <row r="133" customFormat="false" ht="12.8" hidden="false" customHeight="false" outlineLevel="0" collapsed="false">
      <c r="A133" s="1" t="s">
        <v>38</v>
      </c>
      <c r="B133" s="0" t="s">
        <v>371</v>
      </c>
      <c r="C133" s="0" t="s">
        <v>395</v>
      </c>
      <c r="D133" s="0" t="s">
        <v>436</v>
      </c>
      <c r="E133" s="0" t="s">
        <v>311</v>
      </c>
      <c r="F133" s="1" t="s">
        <v>31</v>
      </c>
      <c r="G133" s="0" t="s">
        <v>524</v>
      </c>
      <c r="H133" s="0" t="n">
        <v>4</v>
      </c>
      <c r="I133" s="0" t="s">
        <v>515</v>
      </c>
      <c r="J133" s="0" t="s">
        <v>290</v>
      </c>
    </row>
    <row r="134" customFormat="false" ht="12.8" hidden="false" customHeight="false" outlineLevel="0" collapsed="false">
      <c r="A134" s="1" t="s">
        <v>39</v>
      </c>
      <c r="B134" s="0" t="s">
        <v>395</v>
      </c>
      <c r="C134" s="0" t="s">
        <v>512</v>
      </c>
      <c r="D134" s="0" t="s">
        <v>436</v>
      </c>
      <c r="E134" s="0" t="s">
        <v>311</v>
      </c>
      <c r="F134" s="1" t="s">
        <v>21</v>
      </c>
      <c r="G134" s="0" t="s">
        <v>397</v>
      </c>
      <c r="H134" s="0" t="n">
        <v>5</v>
      </c>
      <c r="I134" s="0" t="s">
        <v>515</v>
      </c>
      <c r="J134" s="0" t="s">
        <v>290</v>
      </c>
    </row>
    <row r="135" customFormat="false" ht="12.8" hidden="false" customHeight="false" outlineLevel="0" collapsed="false">
      <c r="A135" s="1" t="s">
        <v>90</v>
      </c>
      <c r="B135" s="0" t="s">
        <v>519</v>
      </c>
      <c r="C135" s="0" t="s">
        <v>371</v>
      </c>
      <c r="D135" s="0" t="s">
        <v>436</v>
      </c>
      <c r="E135" s="0" t="s">
        <v>311</v>
      </c>
      <c r="F135" s="1" t="s">
        <v>422</v>
      </c>
      <c r="G135" s="0" t="s">
        <v>522</v>
      </c>
      <c r="H135" s="0" t="n">
        <v>5</v>
      </c>
      <c r="I135" s="0" t="s">
        <v>515</v>
      </c>
      <c r="J135" s="0" t="s">
        <v>290</v>
      </c>
    </row>
    <row r="136" customFormat="false" ht="12.8" hidden="false" customHeight="false" outlineLevel="0" collapsed="false">
      <c r="A136" s="1" t="s">
        <v>39</v>
      </c>
      <c r="B136" s="0" t="s">
        <v>513</v>
      </c>
      <c r="C136" s="0" t="s">
        <v>517</v>
      </c>
      <c r="D136" s="0" t="s">
        <v>436</v>
      </c>
      <c r="E136" s="0" t="s">
        <v>311</v>
      </c>
      <c r="F136" s="1" t="s">
        <v>369</v>
      </c>
      <c r="G136" s="0" t="s">
        <v>523</v>
      </c>
      <c r="H136" s="0" t="n">
        <v>5</v>
      </c>
      <c r="I136" s="0" t="s">
        <v>515</v>
      </c>
      <c r="J136" s="0" t="s">
        <v>290</v>
      </c>
    </row>
    <row r="137" customFormat="false" ht="12.8" hidden="false" customHeight="false" outlineLevel="0" collapsed="false">
      <c r="A137" s="1" t="s">
        <v>39</v>
      </c>
      <c r="B137" s="0" t="s">
        <v>399</v>
      </c>
      <c r="C137" s="0" t="s">
        <v>516</v>
      </c>
      <c r="D137" s="0" t="s">
        <v>436</v>
      </c>
      <c r="E137" s="0" t="s">
        <v>311</v>
      </c>
      <c r="F137" s="1" t="s">
        <v>31</v>
      </c>
      <c r="G137" s="0" t="s">
        <v>402</v>
      </c>
      <c r="H137" s="0" t="n">
        <v>5</v>
      </c>
      <c r="I137" s="0" t="s">
        <v>515</v>
      </c>
      <c r="J137" s="0" t="s">
        <v>290</v>
      </c>
    </row>
    <row r="138" customFormat="false" ht="12.8" hidden="false" customHeight="false" outlineLevel="0" collapsed="false">
      <c r="A138" s="1" t="s">
        <v>39</v>
      </c>
      <c r="B138" s="0" t="s">
        <v>390</v>
      </c>
      <c r="C138" s="0" t="s">
        <v>393</v>
      </c>
      <c r="D138" s="0" t="s">
        <v>436</v>
      </c>
      <c r="E138" s="0" t="s">
        <v>311</v>
      </c>
      <c r="F138" s="1" t="s">
        <v>31</v>
      </c>
      <c r="G138" s="0" t="s">
        <v>415</v>
      </c>
      <c r="H138" s="0" t="n">
        <v>5</v>
      </c>
      <c r="I138" s="0" t="s">
        <v>515</v>
      </c>
      <c r="J138" s="0" t="s">
        <v>290</v>
      </c>
    </row>
    <row r="139" customFormat="false" ht="12.8" hidden="false" customHeight="false" outlineLevel="0" collapsed="false">
      <c r="A139" s="1" t="s">
        <v>40</v>
      </c>
      <c r="B139" s="0" t="s">
        <v>516</v>
      </c>
      <c r="C139" s="0" t="s">
        <v>390</v>
      </c>
      <c r="D139" s="0" t="s">
        <v>436</v>
      </c>
      <c r="E139" s="0" t="s">
        <v>311</v>
      </c>
      <c r="F139" s="1" t="s">
        <v>369</v>
      </c>
      <c r="G139" s="0" t="s">
        <v>518</v>
      </c>
      <c r="H139" s="0" t="n">
        <v>6</v>
      </c>
      <c r="I139" s="0" t="s">
        <v>515</v>
      </c>
      <c r="J139" s="0" t="s">
        <v>290</v>
      </c>
    </row>
    <row r="140" customFormat="false" ht="12.8" hidden="false" customHeight="false" outlineLevel="0" collapsed="false">
      <c r="A140" s="1" t="s">
        <v>525</v>
      </c>
      <c r="B140" s="0" t="s">
        <v>519</v>
      </c>
      <c r="C140" s="0" t="s">
        <v>513</v>
      </c>
      <c r="D140" s="0" t="s">
        <v>436</v>
      </c>
      <c r="E140" s="0" t="s">
        <v>311</v>
      </c>
      <c r="F140" s="1" t="s">
        <v>422</v>
      </c>
      <c r="G140" s="0" t="s">
        <v>522</v>
      </c>
      <c r="H140" s="0" t="n">
        <v>6</v>
      </c>
      <c r="I140" s="0" t="s">
        <v>515</v>
      </c>
      <c r="J140" s="0" t="s">
        <v>290</v>
      </c>
    </row>
    <row r="141" customFormat="false" ht="12.8" hidden="false" customHeight="false" outlineLevel="0" collapsed="false">
      <c r="A141" s="1" t="s">
        <v>40</v>
      </c>
      <c r="B141" s="0" t="s">
        <v>371</v>
      </c>
      <c r="C141" s="0" t="s">
        <v>512</v>
      </c>
      <c r="D141" s="0" t="s">
        <v>436</v>
      </c>
      <c r="E141" s="0" t="s">
        <v>311</v>
      </c>
      <c r="F141" s="1" t="s">
        <v>31</v>
      </c>
      <c r="G141" s="0" t="s">
        <v>524</v>
      </c>
      <c r="H141" s="0" t="n">
        <v>6</v>
      </c>
      <c r="I141" s="0" t="s">
        <v>515</v>
      </c>
      <c r="J141" s="0" t="s">
        <v>290</v>
      </c>
    </row>
    <row r="142" customFormat="false" ht="12.8" hidden="false" customHeight="false" outlineLevel="0" collapsed="false">
      <c r="A142" s="1" t="s">
        <v>40</v>
      </c>
      <c r="B142" s="0" t="s">
        <v>517</v>
      </c>
      <c r="C142" s="0" t="s">
        <v>399</v>
      </c>
      <c r="D142" s="0" t="s">
        <v>436</v>
      </c>
      <c r="E142" s="0" t="s">
        <v>311</v>
      </c>
      <c r="F142" s="1" t="s">
        <v>21</v>
      </c>
      <c r="G142" s="0" t="s">
        <v>521</v>
      </c>
      <c r="H142" s="0" t="n">
        <v>6</v>
      </c>
      <c r="I142" s="0" t="s">
        <v>515</v>
      </c>
      <c r="J142" s="0" t="s">
        <v>290</v>
      </c>
    </row>
    <row r="143" customFormat="false" ht="12.8" hidden="false" customHeight="false" outlineLevel="0" collapsed="false">
      <c r="A143" s="1" t="s">
        <v>40</v>
      </c>
      <c r="B143" s="0" t="s">
        <v>393</v>
      </c>
      <c r="C143" s="0" t="s">
        <v>395</v>
      </c>
      <c r="D143" s="0" t="s">
        <v>436</v>
      </c>
      <c r="E143" s="0" t="s">
        <v>311</v>
      </c>
      <c r="F143" s="1" t="s">
        <v>426</v>
      </c>
      <c r="G143" s="0" t="s">
        <v>520</v>
      </c>
      <c r="H143" s="0" t="n">
        <v>6</v>
      </c>
      <c r="I143" s="0" t="s">
        <v>515</v>
      </c>
      <c r="J143" s="0" t="s">
        <v>290</v>
      </c>
    </row>
    <row r="144" customFormat="false" ht="12.8" hidden="false" customHeight="false" outlineLevel="0" collapsed="false">
      <c r="A144" s="1" t="s">
        <v>41</v>
      </c>
      <c r="B144" s="0" t="s">
        <v>513</v>
      </c>
      <c r="C144" s="0" t="s">
        <v>371</v>
      </c>
      <c r="D144" s="0" t="s">
        <v>436</v>
      </c>
      <c r="E144" s="0" t="s">
        <v>311</v>
      </c>
      <c r="F144" s="1" t="s">
        <v>369</v>
      </c>
      <c r="G144" s="0" t="s">
        <v>523</v>
      </c>
      <c r="H144" s="0" t="n">
        <v>7</v>
      </c>
      <c r="I144" s="0" t="s">
        <v>515</v>
      </c>
      <c r="J144" s="0" t="s">
        <v>290</v>
      </c>
    </row>
    <row r="145" customFormat="false" ht="12.8" hidden="false" customHeight="false" outlineLevel="0" collapsed="false">
      <c r="A145" s="1" t="s">
        <v>41</v>
      </c>
      <c r="B145" s="0" t="s">
        <v>390</v>
      </c>
      <c r="C145" s="0" t="s">
        <v>517</v>
      </c>
      <c r="D145" s="0" t="s">
        <v>436</v>
      </c>
      <c r="E145" s="0" t="s">
        <v>311</v>
      </c>
      <c r="F145" s="1" t="s">
        <v>31</v>
      </c>
      <c r="G145" s="0" t="s">
        <v>415</v>
      </c>
      <c r="H145" s="0" t="n">
        <v>7</v>
      </c>
      <c r="I145" s="0" t="s">
        <v>515</v>
      </c>
      <c r="J145" s="0" t="s">
        <v>290</v>
      </c>
    </row>
    <row r="146" customFormat="false" ht="12.8" hidden="false" customHeight="false" outlineLevel="0" collapsed="false">
      <c r="A146" s="1" t="s">
        <v>41</v>
      </c>
      <c r="B146" s="0" t="s">
        <v>399</v>
      </c>
      <c r="C146" s="0" t="s">
        <v>519</v>
      </c>
      <c r="D146" s="0" t="s">
        <v>436</v>
      </c>
      <c r="E146" s="0" t="s">
        <v>311</v>
      </c>
      <c r="F146" s="1" t="s">
        <v>31</v>
      </c>
      <c r="G146" s="0" t="s">
        <v>402</v>
      </c>
      <c r="H146" s="0" t="n">
        <v>7</v>
      </c>
      <c r="I146" s="0" t="s">
        <v>515</v>
      </c>
      <c r="J146" s="0" t="s">
        <v>290</v>
      </c>
    </row>
    <row r="147" customFormat="false" ht="12.8" hidden="false" customHeight="false" outlineLevel="0" collapsed="false">
      <c r="A147" s="1" t="s">
        <v>41</v>
      </c>
      <c r="B147" s="0" t="s">
        <v>395</v>
      </c>
      <c r="C147" s="0" t="s">
        <v>516</v>
      </c>
      <c r="D147" s="0" t="s">
        <v>436</v>
      </c>
      <c r="E147" s="0" t="s">
        <v>311</v>
      </c>
      <c r="F147" s="1" t="s">
        <v>21</v>
      </c>
      <c r="G147" s="0" t="s">
        <v>397</v>
      </c>
      <c r="H147" s="0" t="n">
        <v>7</v>
      </c>
      <c r="I147" s="0" t="s">
        <v>515</v>
      </c>
      <c r="J147" s="0" t="s">
        <v>290</v>
      </c>
    </row>
    <row r="148" customFormat="false" ht="12.8" hidden="false" customHeight="false" outlineLevel="0" collapsed="false">
      <c r="A148" s="1" t="s">
        <v>41</v>
      </c>
      <c r="B148" s="0" t="s">
        <v>512</v>
      </c>
      <c r="C148" s="0" t="s">
        <v>393</v>
      </c>
      <c r="D148" s="0" t="s">
        <v>436</v>
      </c>
      <c r="E148" s="0" t="s">
        <v>311</v>
      </c>
      <c r="F148" s="1" t="s">
        <v>31</v>
      </c>
      <c r="G148" s="0" t="s">
        <v>514</v>
      </c>
      <c r="H148" s="0" t="n">
        <v>7</v>
      </c>
      <c r="I148" s="0" t="s">
        <v>515</v>
      </c>
      <c r="J148" s="0" t="s">
        <v>290</v>
      </c>
    </row>
    <row r="149" customFormat="false" ht="12.8" hidden="false" customHeight="false" outlineLevel="0" collapsed="false">
      <c r="A149" s="1" t="s">
        <v>526</v>
      </c>
      <c r="B149" s="0" t="s">
        <v>519</v>
      </c>
      <c r="C149" s="0" t="s">
        <v>390</v>
      </c>
      <c r="D149" s="0" t="s">
        <v>436</v>
      </c>
      <c r="E149" s="0" t="s">
        <v>311</v>
      </c>
      <c r="F149" s="1" t="s">
        <v>422</v>
      </c>
      <c r="G149" s="0" t="s">
        <v>522</v>
      </c>
      <c r="H149" s="0" t="n">
        <v>8</v>
      </c>
      <c r="I149" s="0" t="s">
        <v>515</v>
      </c>
      <c r="J149" s="0" t="s">
        <v>290</v>
      </c>
    </row>
    <row r="150" customFormat="false" ht="12.8" hidden="false" customHeight="false" outlineLevel="0" collapsed="false">
      <c r="A150" s="1" t="s">
        <v>42</v>
      </c>
      <c r="B150" s="0" t="s">
        <v>516</v>
      </c>
      <c r="C150" s="0" t="s">
        <v>512</v>
      </c>
      <c r="D150" s="0" t="s">
        <v>436</v>
      </c>
      <c r="E150" s="0" t="s">
        <v>311</v>
      </c>
      <c r="F150" s="1" t="s">
        <v>369</v>
      </c>
      <c r="G150" s="0" t="s">
        <v>518</v>
      </c>
      <c r="H150" s="0" t="n">
        <v>8</v>
      </c>
      <c r="I150" s="0" t="s">
        <v>515</v>
      </c>
      <c r="J150" s="0" t="s">
        <v>290</v>
      </c>
    </row>
    <row r="151" customFormat="false" ht="12.8" hidden="false" customHeight="false" outlineLevel="0" collapsed="false">
      <c r="A151" s="1" t="s">
        <v>42</v>
      </c>
      <c r="B151" s="0" t="s">
        <v>513</v>
      </c>
      <c r="C151" s="0" t="s">
        <v>399</v>
      </c>
      <c r="D151" s="0" t="s">
        <v>436</v>
      </c>
      <c r="E151" s="0" t="s">
        <v>311</v>
      </c>
      <c r="F151" s="1" t="s">
        <v>369</v>
      </c>
      <c r="G151" s="0" t="s">
        <v>523</v>
      </c>
      <c r="H151" s="0" t="n">
        <v>8</v>
      </c>
      <c r="I151" s="0" t="s">
        <v>515</v>
      </c>
      <c r="J151" s="0" t="s">
        <v>290</v>
      </c>
    </row>
    <row r="152" customFormat="false" ht="12.8" hidden="false" customHeight="false" outlineLevel="0" collapsed="false">
      <c r="A152" s="1" t="s">
        <v>42</v>
      </c>
      <c r="B152" s="0" t="s">
        <v>371</v>
      </c>
      <c r="C152" s="0" t="s">
        <v>393</v>
      </c>
      <c r="D152" s="0" t="s">
        <v>436</v>
      </c>
      <c r="E152" s="0" t="s">
        <v>311</v>
      </c>
      <c r="F152" s="1" t="s">
        <v>31</v>
      </c>
      <c r="G152" s="0" t="s">
        <v>524</v>
      </c>
      <c r="H152" s="0" t="n">
        <v>8</v>
      </c>
      <c r="I152" s="0" t="s">
        <v>515</v>
      </c>
      <c r="J152" s="0" t="s">
        <v>290</v>
      </c>
    </row>
    <row r="153" customFormat="false" ht="12.8" hidden="false" customHeight="false" outlineLevel="0" collapsed="false">
      <c r="A153" s="1" t="s">
        <v>42</v>
      </c>
      <c r="B153" s="0" t="s">
        <v>517</v>
      </c>
      <c r="C153" s="0" t="s">
        <v>395</v>
      </c>
      <c r="D153" s="0" t="s">
        <v>436</v>
      </c>
      <c r="E153" s="0" t="s">
        <v>311</v>
      </c>
      <c r="F153" s="1" t="s">
        <v>21</v>
      </c>
      <c r="G153" s="0" t="s">
        <v>521</v>
      </c>
      <c r="H153" s="0" t="n">
        <v>8</v>
      </c>
      <c r="I153" s="0" t="s">
        <v>515</v>
      </c>
      <c r="J153" s="0" t="s">
        <v>290</v>
      </c>
    </row>
    <row r="154" customFormat="false" ht="12.8" hidden="false" customHeight="false" outlineLevel="0" collapsed="false">
      <c r="A154" s="1" t="s">
        <v>43</v>
      </c>
      <c r="B154" s="0" t="s">
        <v>390</v>
      </c>
      <c r="C154" s="0" t="s">
        <v>513</v>
      </c>
      <c r="D154" s="0" t="s">
        <v>436</v>
      </c>
      <c r="E154" s="0" t="s">
        <v>311</v>
      </c>
      <c r="F154" s="1" t="s">
        <v>31</v>
      </c>
      <c r="G154" s="0" t="s">
        <v>415</v>
      </c>
      <c r="H154" s="0" t="n">
        <v>9</v>
      </c>
      <c r="I154" s="0" t="s">
        <v>515</v>
      </c>
      <c r="J154" s="0" t="s">
        <v>290</v>
      </c>
    </row>
    <row r="155" customFormat="false" ht="12.8" hidden="false" customHeight="false" outlineLevel="0" collapsed="false">
      <c r="A155" s="1" t="s">
        <v>43</v>
      </c>
      <c r="B155" s="0" t="s">
        <v>399</v>
      </c>
      <c r="C155" s="0" t="s">
        <v>371</v>
      </c>
      <c r="D155" s="0" t="s">
        <v>436</v>
      </c>
      <c r="E155" s="0" t="s">
        <v>311</v>
      </c>
      <c r="F155" s="1" t="s">
        <v>31</v>
      </c>
      <c r="G155" s="0" t="s">
        <v>402</v>
      </c>
      <c r="H155" s="0" t="n">
        <v>9</v>
      </c>
      <c r="I155" s="0" t="s">
        <v>515</v>
      </c>
      <c r="J155" s="0" t="s">
        <v>290</v>
      </c>
    </row>
    <row r="156" customFormat="false" ht="12.8" hidden="false" customHeight="false" outlineLevel="0" collapsed="false">
      <c r="A156" s="1" t="s">
        <v>43</v>
      </c>
      <c r="B156" s="0" t="s">
        <v>512</v>
      </c>
      <c r="C156" s="0" t="s">
        <v>517</v>
      </c>
      <c r="D156" s="0" t="s">
        <v>436</v>
      </c>
      <c r="E156" s="0" t="s">
        <v>311</v>
      </c>
      <c r="F156" s="1" t="s">
        <v>31</v>
      </c>
      <c r="G156" s="0" t="s">
        <v>514</v>
      </c>
      <c r="H156" s="0" t="n">
        <v>9</v>
      </c>
      <c r="I156" s="0" t="s">
        <v>515</v>
      </c>
      <c r="J156" s="0" t="s">
        <v>290</v>
      </c>
    </row>
    <row r="157" customFormat="false" ht="12.8" hidden="false" customHeight="false" outlineLevel="0" collapsed="false">
      <c r="A157" s="1" t="s">
        <v>43</v>
      </c>
      <c r="B157" s="0" t="s">
        <v>395</v>
      </c>
      <c r="C157" s="0" t="s">
        <v>519</v>
      </c>
      <c r="D157" s="0" t="s">
        <v>436</v>
      </c>
      <c r="E157" s="0" t="s">
        <v>311</v>
      </c>
      <c r="F157" s="1" t="s">
        <v>21</v>
      </c>
      <c r="G157" s="0" t="s">
        <v>397</v>
      </c>
      <c r="H157" s="0" t="n">
        <v>9</v>
      </c>
      <c r="I157" s="0" t="s">
        <v>515</v>
      </c>
      <c r="J157" s="0" t="s">
        <v>290</v>
      </c>
    </row>
    <row r="158" customFormat="false" ht="12.8" hidden="false" customHeight="false" outlineLevel="0" collapsed="false">
      <c r="A158" s="1" t="s">
        <v>43</v>
      </c>
      <c r="B158" s="0" t="s">
        <v>393</v>
      </c>
      <c r="C158" s="0" t="s">
        <v>516</v>
      </c>
      <c r="D158" s="0" t="s">
        <v>436</v>
      </c>
      <c r="E158" s="0" t="s">
        <v>311</v>
      </c>
      <c r="F158" s="1" t="s">
        <v>426</v>
      </c>
      <c r="G158" s="0" t="s">
        <v>520</v>
      </c>
      <c r="H158" s="0" t="n">
        <v>9</v>
      </c>
      <c r="I158" s="0" t="s">
        <v>515</v>
      </c>
      <c r="J158" s="0" t="s">
        <v>290</v>
      </c>
    </row>
    <row r="159" customFormat="false" ht="12.8" hidden="false" customHeight="false" outlineLevel="0" collapsed="false">
      <c r="A159" s="1" t="s">
        <v>10</v>
      </c>
      <c r="B159" s="0" t="s">
        <v>527</v>
      </c>
      <c r="C159" s="0" t="s">
        <v>528</v>
      </c>
      <c r="D159" s="0" t="s">
        <v>436</v>
      </c>
      <c r="E159" s="0" t="s">
        <v>408</v>
      </c>
      <c r="F159" s="1" t="s">
        <v>25</v>
      </c>
      <c r="G159" s="0" t="s">
        <v>529</v>
      </c>
      <c r="H159" s="0" t="n">
        <v>2</v>
      </c>
      <c r="I159" s="0" t="s">
        <v>204</v>
      </c>
      <c r="J159" s="0" t="s">
        <v>290</v>
      </c>
    </row>
    <row r="160" customFormat="false" ht="12.8" hidden="false" customHeight="false" outlineLevel="0" collapsed="false">
      <c r="A160" s="1" t="s">
        <v>10</v>
      </c>
      <c r="B160" s="0" t="s">
        <v>211</v>
      </c>
      <c r="C160" s="0" t="s">
        <v>530</v>
      </c>
      <c r="D160" s="0" t="s">
        <v>436</v>
      </c>
      <c r="E160" s="0" t="s">
        <v>408</v>
      </c>
      <c r="F160" s="1" t="s">
        <v>25</v>
      </c>
      <c r="G160" s="0" t="s">
        <v>531</v>
      </c>
      <c r="H160" s="0" t="n">
        <v>2</v>
      </c>
      <c r="I160" s="0" t="s">
        <v>204</v>
      </c>
      <c r="J160" s="0" t="s">
        <v>290</v>
      </c>
    </row>
    <row r="161" customFormat="false" ht="12.8" hidden="false" customHeight="false" outlineLevel="0" collapsed="false">
      <c r="A161" s="1" t="s">
        <v>10</v>
      </c>
      <c r="B161" s="0" t="s">
        <v>532</v>
      </c>
      <c r="C161" s="0" t="s">
        <v>533</v>
      </c>
      <c r="D161" s="0" t="s">
        <v>436</v>
      </c>
      <c r="E161" s="0" t="s">
        <v>408</v>
      </c>
      <c r="F161" s="1" t="s">
        <v>25</v>
      </c>
      <c r="G161" s="0" t="s">
        <v>534</v>
      </c>
      <c r="H161" s="0" t="n">
        <v>2</v>
      </c>
      <c r="I161" s="0" t="s">
        <v>204</v>
      </c>
      <c r="J161" s="0" t="s">
        <v>290</v>
      </c>
    </row>
    <row r="162" customFormat="false" ht="12.8" hidden="false" customHeight="false" outlineLevel="0" collapsed="false">
      <c r="A162" s="1" t="s">
        <v>10</v>
      </c>
      <c r="B162" s="0" t="s">
        <v>535</v>
      </c>
      <c r="C162" s="0" t="s">
        <v>536</v>
      </c>
      <c r="D162" s="0" t="s">
        <v>436</v>
      </c>
      <c r="E162" s="0" t="s">
        <v>408</v>
      </c>
      <c r="F162" s="1" t="s">
        <v>31</v>
      </c>
      <c r="G162" s="0" t="s">
        <v>537</v>
      </c>
      <c r="H162" s="0" t="n">
        <v>2</v>
      </c>
      <c r="I162" s="0" t="s">
        <v>204</v>
      </c>
      <c r="J162" s="0" t="s">
        <v>290</v>
      </c>
    </row>
    <row r="163" customFormat="false" ht="12.8" hidden="false" customHeight="false" outlineLevel="0" collapsed="false">
      <c r="A163" s="1" t="s">
        <v>10</v>
      </c>
      <c r="B163" s="0" t="s">
        <v>538</v>
      </c>
      <c r="C163" s="0" t="s">
        <v>539</v>
      </c>
      <c r="D163" s="0" t="s">
        <v>436</v>
      </c>
      <c r="E163" s="0" t="s">
        <v>408</v>
      </c>
      <c r="F163" s="1" t="s">
        <v>89</v>
      </c>
      <c r="G163" s="0" t="s">
        <v>540</v>
      </c>
      <c r="H163" s="0" t="n">
        <v>2</v>
      </c>
      <c r="I163" s="0" t="s">
        <v>204</v>
      </c>
      <c r="J163" s="0" t="s">
        <v>290</v>
      </c>
    </row>
    <row r="164" customFormat="false" ht="12.8" hidden="false" customHeight="false" outlineLevel="0" collapsed="false">
      <c r="A164" s="1" t="s">
        <v>32</v>
      </c>
      <c r="B164" s="0" t="s">
        <v>535</v>
      </c>
      <c r="C164" s="0" t="s">
        <v>538</v>
      </c>
      <c r="D164" s="0" t="s">
        <v>436</v>
      </c>
      <c r="E164" s="0" t="s">
        <v>408</v>
      </c>
      <c r="F164" s="1" t="s">
        <v>31</v>
      </c>
      <c r="G164" s="0" t="s">
        <v>537</v>
      </c>
      <c r="H164" s="0" t="n">
        <v>3</v>
      </c>
      <c r="I164" s="0" t="s">
        <v>204</v>
      </c>
      <c r="J164" s="0" t="s">
        <v>290</v>
      </c>
    </row>
    <row r="165" customFormat="false" ht="12.8" hidden="false" customHeight="false" outlineLevel="0" collapsed="false">
      <c r="A165" s="1" t="s">
        <v>32</v>
      </c>
      <c r="B165" s="0" t="s">
        <v>539</v>
      </c>
      <c r="C165" s="0" t="s">
        <v>211</v>
      </c>
      <c r="D165" s="0" t="s">
        <v>436</v>
      </c>
      <c r="E165" s="0" t="s">
        <v>408</v>
      </c>
      <c r="F165" s="1" t="s">
        <v>21</v>
      </c>
      <c r="G165" s="0" t="s">
        <v>541</v>
      </c>
      <c r="H165" s="0" t="n">
        <v>3</v>
      </c>
      <c r="I165" s="0" t="s">
        <v>204</v>
      </c>
      <c r="J165" s="0" t="s">
        <v>290</v>
      </c>
    </row>
    <row r="166" customFormat="false" ht="12.8" hidden="false" customHeight="false" outlineLevel="0" collapsed="false">
      <c r="A166" s="1" t="s">
        <v>32</v>
      </c>
      <c r="B166" s="0" t="s">
        <v>528</v>
      </c>
      <c r="C166" s="0" t="s">
        <v>532</v>
      </c>
      <c r="D166" s="0" t="s">
        <v>436</v>
      </c>
      <c r="E166" s="0" t="s">
        <v>408</v>
      </c>
      <c r="F166" s="1" t="s">
        <v>365</v>
      </c>
      <c r="G166" s="0" t="s">
        <v>542</v>
      </c>
      <c r="H166" s="0" t="n">
        <v>3</v>
      </c>
      <c r="I166" s="0" t="s">
        <v>204</v>
      </c>
      <c r="J166" s="0" t="s">
        <v>290</v>
      </c>
    </row>
    <row r="167" customFormat="false" ht="12.8" hidden="false" customHeight="false" outlineLevel="0" collapsed="false">
      <c r="A167" s="1" t="s">
        <v>32</v>
      </c>
      <c r="B167" s="0" t="s">
        <v>530</v>
      </c>
      <c r="C167" s="0" t="s">
        <v>527</v>
      </c>
      <c r="D167" s="0" t="s">
        <v>436</v>
      </c>
      <c r="E167" s="0" t="s">
        <v>408</v>
      </c>
      <c r="F167" s="1" t="s">
        <v>365</v>
      </c>
      <c r="G167" s="0" t="s">
        <v>543</v>
      </c>
      <c r="H167" s="0" t="n">
        <v>3</v>
      </c>
      <c r="I167" s="0" t="s">
        <v>204</v>
      </c>
      <c r="J167" s="0" t="s">
        <v>290</v>
      </c>
    </row>
    <row r="168" customFormat="false" ht="12.8" hidden="false" customHeight="false" outlineLevel="0" collapsed="false">
      <c r="A168" s="1" t="s">
        <v>32</v>
      </c>
      <c r="B168" s="0" t="s">
        <v>533</v>
      </c>
      <c r="C168" s="0" t="s">
        <v>536</v>
      </c>
      <c r="D168" s="0" t="s">
        <v>436</v>
      </c>
      <c r="E168" s="0" t="s">
        <v>408</v>
      </c>
      <c r="F168" s="1" t="s">
        <v>15</v>
      </c>
      <c r="G168" s="0" t="s">
        <v>544</v>
      </c>
      <c r="H168" s="0" t="n">
        <v>3</v>
      </c>
      <c r="I168" s="0" t="s">
        <v>204</v>
      </c>
      <c r="J168" s="0" t="s">
        <v>290</v>
      </c>
    </row>
    <row r="169" customFormat="false" ht="12.8" hidden="false" customHeight="false" outlineLevel="0" collapsed="false">
      <c r="A169" s="1" t="s">
        <v>38</v>
      </c>
      <c r="B169" s="0" t="s">
        <v>211</v>
      </c>
      <c r="C169" s="0" t="s">
        <v>535</v>
      </c>
      <c r="D169" s="0" t="s">
        <v>436</v>
      </c>
      <c r="E169" s="0" t="s">
        <v>408</v>
      </c>
      <c r="F169" s="1" t="s">
        <v>25</v>
      </c>
      <c r="G169" s="0" t="s">
        <v>531</v>
      </c>
      <c r="H169" s="0" t="n">
        <v>4</v>
      </c>
      <c r="I169" s="0" t="s">
        <v>204</v>
      </c>
      <c r="J169" s="0" t="s">
        <v>290</v>
      </c>
    </row>
    <row r="170" customFormat="false" ht="12.8" hidden="false" customHeight="false" outlineLevel="0" collapsed="false">
      <c r="A170" s="1" t="s">
        <v>38</v>
      </c>
      <c r="B170" s="0" t="s">
        <v>536</v>
      </c>
      <c r="C170" s="0" t="s">
        <v>538</v>
      </c>
      <c r="D170" s="0" t="s">
        <v>436</v>
      </c>
      <c r="E170" s="0" t="s">
        <v>408</v>
      </c>
      <c r="F170" s="1" t="s">
        <v>31</v>
      </c>
      <c r="G170" s="0" t="s">
        <v>545</v>
      </c>
      <c r="H170" s="0" t="n">
        <v>4</v>
      </c>
      <c r="I170" s="0" t="s">
        <v>204</v>
      </c>
      <c r="J170" s="0" t="s">
        <v>290</v>
      </c>
    </row>
    <row r="171" customFormat="false" ht="12.8" hidden="false" customHeight="false" outlineLevel="0" collapsed="false">
      <c r="A171" s="1" t="s">
        <v>38</v>
      </c>
      <c r="B171" s="0" t="s">
        <v>533</v>
      </c>
      <c r="C171" s="0" t="s">
        <v>528</v>
      </c>
      <c r="D171" s="0" t="s">
        <v>436</v>
      </c>
      <c r="E171" s="0" t="s">
        <v>408</v>
      </c>
      <c r="F171" s="1" t="s">
        <v>15</v>
      </c>
      <c r="G171" s="0" t="s">
        <v>544</v>
      </c>
      <c r="H171" s="0" t="n">
        <v>4</v>
      </c>
      <c r="I171" s="0" t="s">
        <v>204</v>
      </c>
      <c r="J171" s="0" t="s">
        <v>290</v>
      </c>
    </row>
    <row r="172" customFormat="false" ht="12.8" hidden="false" customHeight="false" outlineLevel="0" collapsed="false">
      <c r="A172" s="1" t="s">
        <v>38</v>
      </c>
      <c r="B172" s="0" t="s">
        <v>532</v>
      </c>
      <c r="C172" s="0" t="s">
        <v>530</v>
      </c>
      <c r="D172" s="0" t="s">
        <v>436</v>
      </c>
      <c r="E172" s="0" t="s">
        <v>408</v>
      </c>
      <c r="F172" s="1" t="s">
        <v>25</v>
      </c>
      <c r="G172" s="0" t="s">
        <v>534</v>
      </c>
      <c r="H172" s="0" t="n">
        <v>4</v>
      </c>
      <c r="I172" s="0" t="s">
        <v>204</v>
      </c>
      <c r="J172" s="0" t="s">
        <v>290</v>
      </c>
    </row>
    <row r="173" customFormat="false" ht="12.8" hidden="false" customHeight="false" outlineLevel="0" collapsed="false">
      <c r="A173" s="1" t="s">
        <v>38</v>
      </c>
      <c r="B173" s="0" t="s">
        <v>527</v>
      </c>
      <c r="C173" s="0" t="s">
        <v>539</v>
      </c>
      <c r="D173" s="0" t="s">
        <v>436</v>
      </c>
      <c r="E173" s="0" t="s">
        <v>408</v>
      </c>
      <c r="F173" s="1" t="s">
        <v>25</v>
      </c>
      <c r="G173" s="0" t="s">
        <v>529</v>
      </c>
      <c r="H173" s="0" t="n">
        <v>4</v>
      </c>
      <c r="I173" s="0" t="s">
        <v>204</v>
      </c>
      <c r="J173" s="0" t="s">
        <v>290</v>
      </c>
    </row>
    <row r="174" customFormat="false" ht="12.8" hidden="false" customHeight="false" outlineLevel="0" collapsed="false">
      <c r="A174" s="1" t="s">
        <v>39</v>
      </c>
      <c r="B174" s="0" t="s">
        <v>538</v>
      </c>
      <c r="C174" s="0" t="s">
        <v>211</v>
      </c>
      <c r="D174" s="0" t="s">
        <v>436</v>
      </c>
      <c r="E174" s="0" t="s">
        <v>408</v>
      </c>
      <c r="F174" s="1" t="s">
        <v>89</v>
      </c>
      <c r="G174" s="0" t="s">
        <v>540</v>
      </c>
      <c r="H174" s="0" t="n">
        <v>5</v>
      </c>
      <c r="I174" s="0" t="s">
        <v>204</v>
      </c>
      <c r="J174" s="0" t="s">
        <v>290</v>
      </c>
    </row>
    <row r="175" customFormat="false" ht="12.8" hidden="false" customHeight="false" outlineLevel="0" collapsed="false">
      <c r="A175" s="1" t="s">
        <v>39</v>
      </c>
      <c r="B175" s="0" t="s">
        <v>539</v>
      </c>
      <c r="C175" s="0" t="s">
        <v>532</v>
      </c>
      <c r="D175" s="0" t="s">
        <v>436</v>
      </c>
      <c r="E175" s="0" t="s">
        <v>408</v>
      </c>
      <c r="F175" s="1" t="s">
        <v>21</v>
      </c>
      <c r="G175" s="0" t="s">
        <v>541</v>
      </c>
      <c r="H175" s="0" t="n">
        <v>5</v>
      </c>
      <c r="I175" s="0" t="s">
        <v>204</v>
      </c>
      <c r="J175" s="0" t="s">
        <v>290</v>
      </c>
    </row>
    <row r="176" customFormat="false" ht="12.8" hidden="false" customHeight="false" outlineLevel="0" collapsed="false">
      <c r="A176" s="1" t="s">
        <v>39</v>
      </c>
      <c r="B176" s="0" t="s">
        <v>530</v>
      </c>
      <c r="C176" s="0" t="s">
        <v>533</v>
      </c>
      <c r="D176" s="0" t="s">
        <v>436</v>
      </c>
      <c r="E176" s="0" t="s">
        <v>408</v>
      </c>
      <c r="F176" s="1" t="s">
        <v>365</v>
      </c>
      <c r="G176" s="0" t="s">
        <v>543</v>
      </c>
      <c r="H176" s="0" t="n">
        <v>5</v>
      </c>
      <c r="I176" s="0" t="s">
        <v>204</v>
      </c>
      <c r="J176" s="0" t="s">
        <v>290</v>
      </c>
    </row>
    <row r="177" customFormat="false" ht="12.8" hidden="false" customHeight="false" outlineLevel="0" collapsed="false">
      <c r="A177" s="1" t="s">
        <v>39</v>
      </c>
      <c r="B177" s="0" t="s">
        <v>535</v>
      </c>
      <c r="C177" s="0" t="s">
        <v>527</v>
      </c>
      <c r="D177" s="0" t="s">
        <v>436</v>
      </c>
      <c r="E177" s="0" t="s">
        <v>408</v>
      </c>
      <c r="F177" s="1" t="s">
        <v>31</v>
      </c>
      <c r="G177" s="0" t="s">
        <v>537</v>
      </c>
      <c r="H177" s="0" t="n">
        <v>5</v>
      </c>
      <c r="I177" s="0" t="s">
        <v>204</v>
      </c>
      <c r="J177" s="0" t="s">
        <v>290</v>
      </c>
    </row>
    <row r="178" customFormat="false" ht="12.8" hidden="false" customHeight="false" outlineLevel="0" collapsed="false">
      <c r="A178" s="1" t="s">
        <v>39</v>
      </c>
      <c r="B178" s="0" t="s">
        <v>528</v>
      </c>
      <c r="C178" s="0" t="s">
        <v>536</v>
      </c>
      <c r="D178" s="0" t="s">
        <v>436</v>
      </c>
      <c r="E178" s="0" t="s">
        <v>408</v>
      </c>
      <c r="F178" s="1" t="s">
        <v>365</v>
      </c>
      <c r="G178" s="0" t="s">
        <v>542</v>
      </c>
      <c r="H178" s="0" t="n">
        <v>5</v>
      </c>
      <c r="I178" s="0" t="s">
        <v>204</v>
      </c>
      <c r="J178" s="0" t="s">
        <v>290</v>
      </c>
    </row>
    <row r="179" customFormat="false" ht="12.8" hidden="false" customHeight="false" outlineLevel="0" collapsed="false">
      <c r="A179" s="1" t="s">
        <v>40</v>
      </c>
      <c r="B179" s="0" t="s">
        <v>532</v>
      </c>
      <c r="C179" s="0" t="s">
        <v>535</v>
      </c>
      <c r="D179" s="0" t="s">
        <v>436</v>
      </c>
      <c r="E179" s="0" t="s">
        <v>408</v>
      </c>
      <c r="F179" s="1" t="s">
        <v>25</v>
      </c>
      <c r="G179" s="0" t="s">
        <v>534</v>
      </c>
      <c r="H179" s="0" t="n">
        <v>6</v>
      </c>
      <c r="I179" s="0" t="s">
        <v>204</v>
      </c>
      <c r="J179" s="0" t="s">
        <v>290</v>
      </c>
    </row>
    <row r="180" customFormat="false" ht="12.8" hidden="false" customHeight="false" outlineLevel="0" collapsed="false">
      <c r="A180" s="1" t="s">
        <v>40</v>
      </c>
      <c r="B180" s="0" t="s">
        <v>527</v>
      </c>
      <c r="C180" s="0" t="s">
        <v>538</v>
      </c>
      <c r="D180" s="0" t="s">
        <v>436</v>
      </c>
      <c r="E180" s="0" t="s">
        <v>408</v>
      </c>
      <c r="F180" s="1" t="s">
        <v>25</v>
      </c>
      <c r="G180" s="0" t="s">
        <v>546</v>
      </c>
      <c r="H180" s="0" t="n">
        <v>6</v>
      </c>
      <c r="I180" s="0" t="s">
        <v>204</v>
      </c>
      <c r="J180" s="0" t="s">
        <v>290</v>
      </c>
    </row>
    <row r="181" customFormat="false" ht="12.8" hidden="false" customHeight="false" outlineLevel="0" collapsed="false">
      <c r="A181" s="1" t="s">
        <v>40</v>
      </c>
      <c r="B181" s="0" t="s">
        <v>536</v>
      </c>
      <c r="C181" s="0" t="s">
        <v>211</v>
      </c>
      <c r="D181" s="0" t="s">
        <v>436</v>
      </c>
      <c r="E181" s="0" t="s">
        <v>408</v>
      </c>
      <c r="F181" s="1" t="s">
        <v>31</v>
      </c>
      <c r="G181" s="0" t="s">
        <v>545</v>
      </c>
      <c r="H181" s="0" t="n">
        <v>6</v>
      </c>
      <c r="I181" s="0" t="s">
        <v>204</v>
      </c>
      <c r="J181" s="0" t="s">
        <v>290</v>
      </c>
    </row>
    <row r="182" customFormat="false" ht="12.8" hidden="false" customHeight="false" outlineLevel="0" collapsed="false">
      <c r="A182" s="1" t="s">
        <v>40</v>
      </c>
      <c r="B182" s="0" t="s">
        <v>528</v>
      </c>
      <c r="C182" s="0" t="s">
        <v>530</v>
      </c>
      <c r="D182" s="0" t="s">
        <v>436</v>
      </c>
      <c r="E182" s="0" t="s">
        <v>408</v>
      </c>
      <c r="F182" s="1" t="s">
        <v>365</v>
      </c>
      <c r="G182" s="0" t="s">
        <v>542</v>
      </c>
      <c r="H182" s="0" t="n">
        <v>6</v>
      </c>
      <c r="I182" s="0" t="s">
        <v>204</v>
      </c>
      <c r="J182" s="0" t="s">
        <v>290</v>
      </c>
    </row>
    <row r="183" customFormat="false" ht="12.8" hidden="false" customHeight="false" outlineLevel="0" collapsed="false">
      <c r="A183" s="1" t="s">
        <v>40</v>
      </c>
      <c r="B183" s="0" t="s">
        <v>533</v>
      </c>
      <c r="C183" s="0" t="s">
        <v>539</v>
      </c>
      <c r="D183" s="0" t="s">
        <v>436</v>
      </c>
      <c r="E183" s="0" t="s">
        <v>408</v>
      </c>
      <c r="F183" s="1" t="s">
        <v>15</v>
      </c>
      <c r="G183" s="0" t="s">
        <v>544</v>
      </c>
      <c r="H183" s="0" t="n">
        <v>6</v>
      </c>
      <c r="I183" s="0" t="s">
        <v>204</v>
      </c>
      <c r="J183" s="0" t="s">
        <v>290</v>
      </c>
    </row>
    <row r="184" customFormat="false" ht="12.8" hidden="false" customHeight="false" outlineLevel="0" collapsed="false">
      <c r="A184" s="1" t="s">
        <v>41</v>
      </c>
      <c r="B184" s="0" t="s">
        <v>539</v>
      </c>
      <c r="C184" s="0" t="s">
        <v>528</v>
      </c>
      <c r="D184" s="0" t="s">
        <v>436</v>
      </c>
      <c r="E184" s="0" t="s">
        <v>408</v>
      </c>
      <c r="F184" s="1" t="s">
        <v>21</v>
      </c>
      <c r="G184" s="0" t="s">
        <v>541</v>
      </c>
      <c r="H184" s="0" t="n">
        <v>7</v>
      </c>
      <c r="I184" s="0" t="s">
        <v>204</v>
      </c>
      <c r="J184" s="0" t="s">
        <v>290</v>
      </c>
    </row>
    <row r="185" customFormat="false" ht="12.8" hidden="false" customHeight="false" outlineLevel="0" collapsed="false">
      <c r="A185" s="1" t="s">
        <v>41</v>
      </c>
      <c r="B185" s="0" t="s">
        <v>538</v>
      </c>
      <c r="C185" s="0" t="s">
        <v>532</v>
      </c>
      <c r="D185" s="0" t="s">
        <v>436</v>
      </c>
      <c r="E185" s="0" t="s">
        <v>408</v>
      </c>
      <c r="F185" s="1" t="s">
        <v>89</v>
      </c>
      <c r="G185" s="0" t="s">
        <v>540</v>
      </c>
      <c r="H185" s="0" t="n">
        <v>7</v>
      </c>
      <c r="I185" s="0" t="s">
        <v>204</v>
      </c>
      <c r="J185" s="0" t="s">
        <v>290</v>
      </c>
    </row>
    <row r="186" customFormat="false" ht="12.8" hidden="false" customHeight="false" outlineLevel="0" collapsed="false">
      <c r="A186" s="1" t="s">
        <v>41</v>
      </c>
      <c r="B186" s="0" t="s">
        <v>535</v>
      </c>
      <c r="C186" s="0" t="s">
        <v>533</v>
      </c>
      <c r="D186" s="0" t="s">
        <v>436</v>
      </c>
      <c r="E186" s="0" t="s">
        <v>408</v>
      </c>
      <c r="F186" s="1" t="s">
        <v>31</v>
      </c>
      <c r="G186" s="0" t="s">
        <v>537</v>
      </c>
      <c r="H186" s="0" t="n">
        <v>7</v>
      </c>
      <c r="I186" s="0" t="s">
        <v>204</v>
      </c>
      <c r="J186" s="0" t="s">
        <v>290</v>
      </c>
    </row>
    <row r="187" customFormat="false" ht="12.8" hidden="false" customHeight="false" outlineLevel="0" collapsed="false">
      <c r="A187" s="1" t="s">
        <v>41</v>
      </c>
      <c r="B187" s="0" t="s">
        <v>211</v>
      </c>
      <c r="C187" s="0" t="s">
        <v>527</v>
      </c>
      <c r="D187" s="0" t="s">
        <v>436</v>
      </c>
      <c r="E187" s="0" t="s">
        <v>408</v>
      </c>
      <c r="F187" s="1" t="s">
        <v>25</v>
      </c>
      <c r="G187" s="0" t="s">
        <v>531</v>
      </c>
      <c r="H187" s="0" t="n">
        <v>7</v>
      </c>
      <c r="I187" s="0" t="s">
        <v>204</v>
      </c>
      <c r="J187" s="0" t="s">
        <v>290</v>
      </c>
    </row>
    <row r="188" customFormat="false" ht="12.8" hidden="false" customHeight="false" outlineLevel="0" collapsed="false">
      <c r="A188" s="1" t="s">
        <v>41</v>
      </c>
      <c r="B188" s="0" t="s">
        <v>530</v>
      </c>
      <c r="C188" s="0" t="s">
        <v>536</v>
      </c>
      <c r="D188" s="0" t="s">
        <v>436</v>
      </c>
      <c r="E188" s="0" t="s">
        <v>408</v>
      </c>
      <c r="F188" s="1" t="s">
        <v>365</v>
      </c>
      <c r="G188" s="0" t="s">
        <v>543</v>
      </c>
      <c r="H188" s="0" t="n">
        <v>7</v>
      </c>
      <c r="I188" s="0" t="s">
        <v>204</v>
      </c>
      <c r="J188" s="0" t="s">
        <v>290</v>
      </c>
    </row>
    <row r="189" customFormat="false" ht="12.8" hidden="false" customHeight="false" outlineLevel="0" collapsed="false">
      <c r="A189" s="1" t="s">
        <v>42</v>
      </c>
      <c r="B189" s="0" t="s">
        <v>528</v>
      </c>
      <c r="C189" s="0" t="s">
        <v>535</v>
      </c>
      <c r="D189" s="0" t="s">
        <v>436</v>
      </c>
      <c r="E189" s="0" t="s">
        <v>408</v>
      </c>
      <c r="F189" s="1" t="s">
        <v>365</v>
      </c>
      <c r="G189" s="0" t="s">
        <v>542</v>
      </c>
      <c r="H189" s="0" t="n">
        <v>8</v>
      </c>
      <c r="I189" s="0" t="s">
        <v>204</v>
      </c>
      <c r="J189" s="0" t="s">
        <v>290</v>
      </c>
    </row>
    <row r="190" customFormat="false" ht="12.8" hidden="false" customHeight="false" outlineLevel="0" collapsed="false">
      <c r="A190" s="1" t="s">
        <v>42</v>
      </c>
      <c r="B190" s="0" t="s">
        <v>533</v>
      </c>
      <c r="C190" s="0" t="s">
        <v>538</v>
      </c>
      <c r="D190" s="0" t="s">
        <v>436</v>
      </c>
      <c r="E190" s="0" t="s">
        <v>408</v>
      </c>
      <c r="F190" s="1" t="s">
        <v>15</v>
      </c>
      <c r="G190" s="0" t="s">
        <v>544</v>
      </c>
      <c r="H190" s="0" t="n">
        <v>8</v>
      </c>
      <c r="I190" s="0" t="s">
        <v>204</v>
      </c>
      <c r="J190" s="0" t="s">
        <v>290</v>
      </c>
    </row>
    <row r="191" customFormat="false" ht="12.8" hidden="false" customHeight="false" outlineLevel="0" collapsed="false">
      <c r="A191" s="1" t="s">
        <v>42</v>
      </c>
      <c r="B191" s="0" t="s">
        <v>532</v>
      </c>
      <c r="C191" s="0" t="s">
        <v>211</v>
      </c>
      <c r="D191" s="0" t="s">
        <v>436</v>
      </c>
      <c r="E191" s="0" t="s">
        <v>408</v>
      </c>
      <c r="F191" s="1" t="s">
        <v>25</v>
      </c>
      <c r="G191" s="0" t="s">
        <v>534</v>
      </c>
      <c r="H191" s="0" t="n">
        <v>8</v>
      </c>
      <c r="I191" s="0" t="s">
        <v>204</v>
      </c>
      <c r="J191" s="0" t="s">
        <v>290</v>
      </c>
    </row>
    <row r="192" customFormat="false" ht="12.8" hidden="false" customHeight="false" outlineLevel="0" collapsed="false">
      <c r="A192" s="1" t="s">
        <v>42</v>
      </c>
      <c r="B192" s="0" t="s">
        <v>536</v>
      </c>
      <c r="C192" s="0" t="s">
        <v>527</v>
      </c>
      <c r="D192" s="0" t="s">
        <v>436</v>
      </c>
      <c r="E192" s="0" t="s">
        <v>408</v>
      </c>
      <c r="F192" s="1" t="s">
        <v>31</v>
      </c>
      <c r="G192" s="0" t="s">
        <v>545</v>
      </c>
      <c r="H192" s="0" t="n">
        <v>8</v>
      </c>
      <c r="I192" s="0" t="s">
        <v>204</v>
      </c>
      <c r="J192" s="0" t="s">
        <v>290</v>
      </c>
    </row>
    <row r="193" customFormat="false" ht="12.8" hidden="false" customHeight="false" outlineLevel="0" collapsed="false">
      <c r="A193" s="1" t="s">
        <v>42</v>
      </c>
      <c r="B193" s="0" t="s">
        <v>530</v>
      </c>
      <c r="C193" s="0" t="s">
        <v>539</v>
      </c>
      <c r="D193" s="0" t="s">
        <v>436</v>
      </c>
      <c r="E193" s="0" t="s">
        <v>408</v>
      </c>
      <c r="F193" s="1" t="s">
        <v>365</v>
      </c>
      <c r="G193" s="0" t="s">
        <v>543</v>
      </c>
      <c r="H193" s="0" t="n">
        <v>8</v>
      </c>
      <c r="I193" s="0" t="s">
        <v>204</v>
      </c>
      <c r="J193" s="0" t="s">
        <v>290</v>
      </c>
    </row>
    <row r="194" customFormat="false" ht="12.8" hidden="false" customHeight="false" outlineLevel="0" collapsed="false">
      <c r="A194" s="1" t="s">
        <v>43</v>
      </c>
      <c r="B194" s="0" t="s">
        <v>535</v>
      </c>
      <c r="C194" s="0" t="s">
        <v>530</v>
      </c>
      <c r="D194" s="0" t="s">
        <v>436</v>
      </c>
      <c r="E194" s="0" t="s">
        <v>408</v>
      </c>
      <c r="F194" s="1" t="s">
        <v>31</v>
      </c>
      <c r="G194" s="0" t="s">
        <v>537</v>
      </c>
      <c r="H194" s="0" t="n">
        <v>9</v>
      </c>
      <c r="I194" s="0" t="s">
        <v>204</v>
      </c>
      <c r="J194" s="0" t="s">
        <v>290</v>
      </c>
    </row>
    <row r="195" customFormat="false" ht="12.8" hidden="false" customHeight="false" outlineLevel="0" collapsed="false">
      <c r="A195" s="1" t="s">
        <v>43</v>
      </c>
      <c r="B195" s="0" t="s">
        <v>211</v>
      </c>
      <c r="C195" s="0" t="s">
        <v>533</v>
      </c>
      <c r="D195" s="0" t="s">
        <v>436</v>
      </c>
      <c r="E195" s="0" t="s">
        <v>408</v>
      </c>
      <c r="F195" s="1" t="s">
        <v>25</v>
      </c>
      <c r="G195" s="0" t="s">
        <v>531</v>
      </c>
      <c r="H195" s="0" t="n">
        <v>9</v>
      </c>
      <c r="I195" s="0" t="s">
        <v>204</v>
      </c>
      <c r="J195" s="0" t="s">
        <v>290</v>
      </c>
    </row>
    <row r="196" customFormat="false" ht="12.8" hidden="false" customHeight="false" outlineLevel="0" collapsed="false">
      <c r="A196" s="1" t="s">
        <v>43</v>
      </c>
      <c r="B196" s="0" t="s">
        <v>527</v>
      </c>
      <c r="C196" s="0" t="s">
        <v>532</v>
      </c>
      <c r="D196" s="0" t="s">
        <v>436</v>
      </c>
      <c r="E196" s="0" t="s">
        <v>408</v>
      </c>
      <c r="F196" s="1" t="s">
        <v>25</v>
      </c>
      <c r="G196" s="0" t="s">
        <v>546</v>
      </c>
      <c r="H196" s="0" t="n">
        <v>9</v>
      </c>
      <c r="I196" s="0" t="s">
        <v>204</v>
      </c>
      <c r="J196" s="0" t="s">
        <v>290</v>
      </c>
    </row>
    <row r="197" customFormat="false" ht="12.8" hidden="false" customHeight="false" outlineLevel="0" collapsed="false">
      <c r="A197" s="1" t="s">
        <v>43</v>
      </c>
      <c r="B197" s="0" t="s">
        <v>539</v>
      </c>
      <c r="C197" s="0" t="s">
        <v>536</v>
      </c>
      <c r="D197" s="0" t="s">
        <v>436</v>
      </c>
      <c r="E197" s="0" t="s">
        <v>408</v>
      </c>
      <c r="F197" s="1" t="s">
        <v>21</v>
      </c>
      <c r="G197" s="0" t="s">
        <v>541</v>
      </c>
      <c r="H197" s="0" t="n">
        <v>9</v>
      </c>
      <c r="I197" s="0" t="s">
        <v>204</v>
      </c>
      <c r="J197" s="0" t="s">
        <v>290</v>
      </c>
    </row>
    <row r="198" customFormat="false" ht="12.8" hidden="false" customHeight="false" outlineLevel="0" collapsed="false">
      <c r="A198" s="1" t="s">
        <v>43</v>
      </c>
      <c r="B198" s="0" t="s">
        <v>538</v>
      </c>
      <c r="C198" s="0" t="s">
        <v>528</v>
      </c>
      <c r="D198" s="0" t="s">
        <v>436</v>
      </c>
      <c r="E198" s="0" t="s">
        <v>408</v>
      </c>
      <c r="F198" s="1" t="s">
        <v>89</v>
      </c>
      <c r="G198" s="0" t="s">
        <v>540</v>
      </c>
      <c r="H198" s="0" t="n">
        <v>9</v>
      </c>
      <c r="I198" s="0" t="s">
        <v>204</v>
      </c>
      <c r="J198" s="0" t="s">
        <v>290</v>
      </c>
    </row>
  </sheetData>
  <autoFilter ref="E1:E19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99"/>
  <sheetViews>
    <sheetView showFormulas="false" showGridLines="true" showRowColHeaders="true" showZeros="true" rightToLeft="false" tabSelected="false" showOutlineSymbols="true" defaultGridColor="true" view="normal" topLeftCell="K13" colorId="64" zoomScale="100" zoomScaleNormal="100" zoomScalePageLayoutView="100" workbookViewId="0">
      <selection pane="topLeft" activeCell="O26" activeCellId="0" sqref="O26"/>
    </sheetView>
  </sheetViews>
  <sheetFormatPr defaultColWidth="11.89453125" defaultRowHeight="12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82"/>
    <col collapsed="false" customWidth="true" hidden="false" outlineLevel="0" max="4" min="4" style="0" width="30.7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6" width="10.73"/>
    <col collapsed="false" customWidth="true" hidden="false" outlineLevel="0" max="10" min="10" style="0" width="52.09"/>
    <col collapsed="false" customWidth="true" hidden="false" outlineLevel="0" max="12" min="12" style="0" width="20.54"/>
    <col collapsed="false" customWidth="true" hidden="false" outlineLevel="0" max="13" min="13" style="0" width="30.82"/>
    <col collapsed="false" customWidth="true" hidden="false" outlineLevel="0" max="14" min="14" style="0" width="5.72"/>
    <col collapsed="false" customWidth="true" hidden="false" outlineLevel="0" max="15" min="15" style="7" width="10.73"/>
    <col collapsed="false" customWidth="true" hidden="false" outlineLevel="0" max="16" min="16" style="0" width="53.27"/>
  </cols>
  <sheetData>
    <row r="1" customFormat="false" ht="12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8" t="s">
        <v>5</v>
      </c>
      <c r="J1" s="0" t="s">
        <v>6</v>
      </c>
      <c r="M1" s="0" t="s">
        <v>547</v>
      </c>
      <c r="N1" s="0" t="s">
        <v>548</v>
      </c>
      <c r="O1" s="7" t="s">
        <v>549</v>
      </c>
      <c r="P1" s="0" t="s">
        <v>550</v>
      </c>
    </row>
    <row r="2" customFormat="false" ht="12" hidden="false" customHeight="true" outlineLevel="0" collapsed="false">
      <c r="A2" s="5" t="n">
        <v>46060</v>
      </c>
      <c r="B2" s="0" t="s">
        <v>551</v>
      </c>
      <c r="C2" s="0" t="s">
        <v>451</v>
      </c>
      <c r="D2" s="0" t="s">
        <v>552</v>
      </c>
      <c r="E2" s="0" t="s">
        <v>129</v>
      </c>
      <c r="F2" s="0" t="n">
        <v>1</v>
      </c>
      <c r="G2" s="0" t="s">
        <v>553</v>
      </c>
      <c r="H2" s="0" t="s">
        <v>315</v>
      </c>
      <c r="I2" s="9" t="str">
        <f aca="false">VLOOKUP(B2,M:O,3,0)</f>
        <v>17:30</v>
      </c>
      <c r="J2" s="10" t="str">
        <f aca="false">VLOOKUP(B2,M:P,4,0)</f>
        <v>PONTE SAN PIETRO ZONA CLINICA VIA XXIV MAGGIO</v>
      </c>
      <c r="M2" s="0" t="s">
        <v>551</v>
      </c>
      <c r="N2" s="0" t="s">
        <v>129</v>
      </c>
      <c r="O2" s="7" t="s">
        <v>554</v>
      </c>
      <c r="P2" s="0" t="s">
        <v>555</v>
      </c>
    </row>
    <row r="3" customFormat="false" ht="12" hidden="false" customHeight="true" outlineLevel="0" collapsed="false">
      <c r="A3" s="5" t="n">
        <v>46060</v>
      </c>
      <c r="B3" s="0" t="s">
        <v>442</v>
      </c>
      <c r="C3" s="0" t="s">
        <v>556</v>
      </c>
      <c r="D3" s="0" t="s">
        <v>552</v>
      </c>
      <c r="E3" s="0" t="s">
        <v>129</v>
      </c>
      <c r="F3" s="0" t="n">
        <v>1</v>
      </c>
      <c r="G3" s="0" t="s">
        <v>553</v>
      </c>
      <c r="H3" s="0" t="s">
        <v>315</v>
      </c>
      <c r="I3" s="9" t="str">
        <f aca="false">VLOOKUP(B3,M:O,3,0)</f>
        <v>14:00</v>
      </c>
      <c r="J3" s="10" t="str">
        <f aca="false">VLOOKUP(B3,M:P,4,0)</f>
        <v>ZANICA VIA COMUN NUOVO 26-28</v>
      </c>
      <c r="M3" s="0" t="s">
        <v>442</v>
      </c>
      <c r="N3" s="0" t="s">
        <v>129</v>
      </c>
      <c r="O3" s="7" t="s">
        <v>453</v>
      </c>
      <c r="P3" s="0" t="s">
        <v>557</v>
      </c>
    </row>
    <row r="4" customFormat="false" ht="12" hidden="false" customHeight="true" outlineLevel="0" collapsed="false">
      <c r="A4" s="5" t="n">
        <v>46060</v>
      </c>
      <c r="B4" s="0" t="s">
        <v>435</v>
      </c>
      <c r="C4" s="0" t="s">
        <v>434</v>
      </c>
      <c r="D4" s="0" t="s">
        <v>552</v>
      </c>
      <c r="E4" s="0" t="s">
        <v>129</v>
      </c>
      <c r="F4" s="0" t="n">
        <v>1</v>
      </c>
      <c r="G4" s="0" t="s">
        <v>553</v>
      </c>
      <c r="H4" s="0" t="s">
        <v>315</v>
      </c>
      <c r="I4" s="9" t="str">
        <f aca="false">VLOOKUP(B4,M:O,3,0)</f>
        <v>14:00</v>
      </c>
      <c r="J4" s="10" t="str">
        <f aca="false">VLOOKUP(B4,M:P,4,0)</f>
        <v>BRUSAPORTO VIA BELVEDERE 1</v>
      </c>
      <c r="M4" s="11" t="s">
        <v>435</v>
      </c>
      <c r="N4" s="0" t="s">
        <v>129</v>
      </c>
      <c r="O4" s="7" t="s">
        <v>453</v>
      </c>
      <c r="P4" s="0" t="s">
        <v>558</v>
      </c>
    </row>
    <row r="5" customFormat="false" ht="12" hidden="false" customHeight="true" outlineLevel="0" collapsed="false">
      <c r="A5" s="5" t="n">
        <v>46060</v>
      </c>
      <c r="B5" s="0" t="s">
        <v>559</v>
      </c>
      <c r="C5" s="0" t="s">
        <v>560</v>
      </c>
      <c r="D5" s="0" t="s">
        <v>552</v>
      </c>
      <c r="E5" s="0" t="s">
        <v>129</v>
      </c>
      <c r="F5" s="0" t="n">
        <v>1</v>
      </c>
      <c r="G5" s="0" t="s">
        <v>553</v>
      </c>
      <c r="H5" s="0" t="s">
        <v>315</v>
      </c>
      <c r="I5" s="9" t="str">
        <f aca="false">VLOOKUP(B5,M:O,3,0)</f>
        <v>14:30</v>
      </c>
      <c r="J5" s="10" t="str">
        <f aca="false">VLOOKUP(B5,M:P,4,0)</f>
        <v>SCANZOROSCIATE VIA POLCAREZZO 2</v>
      </c>
      <c r="M5" s="11" t="s">
        <v>559</v>
      </c>
      <c r="N5" s="0" t="s">
        <v>129</v>
      </c>
      <c r="O5" s="7" t="s">
        <v>331</v>
      </c>
      <c r="P5" s="0" t="s">
        <v>561</v>
      </c>
    </row>
    <row r="6" customFormat="false" ht="12" hidden="false" customHeight="true" outlineLevel="0" collapsed="false">
      <c r="A6" s="5" t="n">
        <v>46060</v>
      </c>
      <c r="B6" s="0" t="s">
        <v>446</v>
      </c>
      <c r="C6" s="0" t="s">
        <v>562</v>
      </c>
      <c r="D6" s="0" t="s">
        <v>552</v>
      </c>
      <c r="E6" s="0" t="s">
        <v>129</v>
      </c>
      <c r="F6" s="0" t="n">
        <v>1</v>
      </c>
      <c r="G6" s="0" t="s">
        <v>553</v>
      </c>
      <c r="H6" s="0" t="s">
        <v>315</v>
      </c>
      <c r="I6" s="9" t="str">
        <f aca="false">VLOOKUP(B6,M:O,3,0)</f>
        <v>14:30</v>
      </c>
      <c r="J6" s="10" t="str">
        <f aca="false">VLOOKUP(B6,M:P,4,0)</f>
        <v>VILLA D'ALME' VIA RONCO BASSO 5</v>
      </c>
      <c r="M6" s="11" t="s">
        <v>446</v>
      </c>
      <c r="N6" s="0" t="s">
        <v>129</v>
      </c>
      <c r="O6" s="7" t="s">
        <v>331</v>
      </c>
      <c r="P6" s="0" t="s">
        <v>563</v>
      </c>
    </row>
    <row r="7" customFormat="false" ht="12" hidden="false" customHeight="true" outlineLevel="0" collapsed="false">
      <c r="A7" s="5" t="n">
        <v>46067</v>
      </c>
      <c r="B7" s="0" t="s">
        <v>560</v>
      </c>
      <c r="C7" s="0" t="s">
        <v>446</v>
      </c>
      <c r="D7" s="0" t="s">
        <v>552</v>
      </c>
      <c r="E7" s="0" t="s">
        <v>129</v>
      </c>
      <c r="F7" s="0" t="n">
        <v>2</v>
      </c>
      <c r="G7" s="0" t="s">
        <v>553</v>
      </c>
      <c r="H7" s="0" t="s">
        <v>315</v>
      </c>
      <c r="I7" s="9" t="str">
        <f aca="false">VLOOKUP(B7,M:O,3,0)</f>
        <v>14:30</v>
      </c>
      <c r="J7" s="10" t="str">
        <f aca="false">VLOOKUP(B7,M:P,4,0)</f>
        <v>BREMBATE VIA ORATORIO 20</v>
      </c>
      <c r="M7" s="11" t="s">
        <v>560</v>
      </c>
      <c r="N7" s="0" t="s">
        <v>129</v>
      </c>
      <c r="O7" s="7" t="s">
        <v>331</v>
      </c>
      <c r="P7" s="0" t="s">
        <v>564</v>
      </c>
    </row>
    <row r="8" customFormat="false" ht="12" hidden="false" customHeight="true" outlineLevel="0" collapsed="false">
      <c r="A8" s="5" t="n">
        <v>46067</v>
      </c>
      <c r="B8" s="0" t="s">
        <v>556</v>
      </c>
      <c r="C8" s="0" t="s">
        <v>435</v>
      </c>
      <c r="D8" s="0" t="s">
        <v>552</v>
      </c>
      <c r="E8" s="0" t="s">
        <v>129</v>
      </c>
      <c r="F8" s="0" t="n">
        <v>2</v>
      </c>
      <c r="G8" s="0" t="s">
        <v>553</v>
      </c>
      <c r="H8" s="0" t="s">
        <v>315</v>
      </c>
      <c r="I8" s="9" t="str">
        <f aca="false">VLOOKUP(B8,M:O,3,0)</f>
        <v>14:15</v>
      </c>
      <c r="J8" s="10" t="str">
        <f aca="false">VLOOKUP(B8,M:P,4,0)</f>
        <v>CARAVAGGIO VIA G.CASTOLDI 11</v>
      </c>
      <c r="M8" s="11" t="s">
        <v>556</v>
      </c>
      <c r="N8" s="0" t="s">
        <v>129</v>
      </c>
      <c r="O8" s="7" t="s">
        <v>565</v>
      </c>
      <c r="P8" s="0" t="s">
        <v>566</v>
      </c>
    </row>
    <row r="9" customFormat="false" ht="12" hidden="false" customHeight="true" outlineLevel="0" collapsed="false">
      <c r="A9" s="5" t="n">
        <v>46067</v>
      </c>
      <c r="B9" s="0" t="s">
        <v>562</v>
      </c>
      <c r="C9" s="0" t="s">
        <v>442</v>
      </c>
      <c r="D9" s="0" t="s">
        <v>552</v>
      </c>
      <c r="E9" s="0" t="s">
        <v>129</v>
      </c>
      <c r="F9" s="0" t="n">
        <v>2</v>
      </c>
      <c r="G9" s="0" t="s">
        <v>553</v>
      </c>
      <c r="H9" s="0" t="s">
        <v>315</v>
      </c>
      <c r="I9" s="9" t="str">
        <f aca="false">VLOOKUP(B9,M:O,3,0)</f>
        <v>14:30</v>
      </c>
      <c r="J9" s="10" t="str">
        <f aca="false">VLOOKUP(B9,M:P,4,0)</f>
        <v>TREZZO SULL'ADDA VIA ROCCA 19</v>
      </c>
      <c r="M9" s="11" t="s">
        <v>562</v>
      </c>
      <c r="N9" s="0" t="s">
        <v>129</v>
      </c>
      <c r="O9" s="7" t="s">
        <v>331</v>
      </c>
      <c r="P9" s="0" t="s">
        <v>567</v>
      </c>
    </row>
    <row r="10" customFormat="false" ht="12" hidden="false" customHeight="true" outlineLevel="0" collapsed="false">
      <c r="A10" s="5" t="n">
        <v>46067</v>
      </c>
      <c r="B10" s="0" t="s">
        <v>451</v>
      </c>
      <c r="C10" s="0" t="s">
        <v>559</v>
      </c>
      <c r="D10" s="0" t="s">
        <v>552</v>
      </c>
      <c r="E10" s="0" t="s">
        <v>129</v>
      </c>
      <c r="F10" s="0" t="n">
        <v>2</v>
      </c>
      <c r="G10" s="0" t="s">
        <v>553</v>
      </c>
      <c r="H10" s="0" t="s">
        <v>315</v>
      </c>
      <c r="I10" s="9" t="str">
        <f aca="false">VLOOKUP(B10,M:O,3,0)</f>
        <v>14:30</v>
      </c>
      <c r="J10" s="10" t="str">
        <f aca="false">VLOOKUP(B10,M:P,4,0)</f>
        <v>SARNICO VIA OLIMPIA 4</v>
      </c>
      <c r="M10" s="11" t="s">
        <v>451</v>
      </c>
      <c r="N10" s="0" t="s">
        <v>129</v>
      </c>
      <c r="O10" s="7" t="s">
        <v>331</v>
      </c>
      <c r="P10" s="0" t="s">
        <v>568</v>
      </c>
    </row>
    <row r="11" customFormat="false" ht="12" hidden="false" customHeight="true" outlineLevel="0" collapsed="false">
      <c r="A11" s="5" t="n">
        <v>46067</v>
      </c>
      <c r="B11" s="0" t="s">
        <v>434</v>
      </c>
      <c r="C11" s="0" t="s">
        <v>551</v>
      </c>
      <c r="D11" s="0" t="s">
        <v>552</v>
      </c>
      <c r="E11" s="0" t="s">
        <v>129</v>
      </c>
      <c r="F11" s="0" t="n">
        <v>2</v>
      </c>
      <c r="G11" s="0" t="s">
        <v>553</v>
      </c>
      <c r="H11" s="0" t="s">
        <v>315</v>
      </c>
      <c r="I11" s="9" t="str">
        <f aca="false">VLOOKUP(B11,M:O,3,0)</f>
        <v>16:00</v>
      </c>
      <c r="J11" s="10" t="str">
        <f aca="false">VLOOKUP(B11,M:P,4,0)</f>
        <v>CISERANO VIA MAZZINI 13</v>
      </c>
      <c r="M11" s="11" t="s">
        <v>434</v>
      </c>
      <c r="N11" s="0" t="s">
        <v>129</v>
      </c>
      <c r="O11" s="7" t="s">
        <v>336</v>
      </c>
      <c r="P11" s="0" t="s">
        <v>569</v>
      </c>
    </row>
    <row r="12" customFormat="false" ht="12" hidden="false" customHeight="true" outlineLevel="0" collapsed="false">
      <c r="A12" s="5" t="n">
        <v>46074</v>
      </c>
      <c r="B12" s="0" t="s">
        <v>551</v>
      </c>
      <c r="C12" s="0" t="s">
        <v>556</v>
      </c>
      <c r="D12" s="0" t="s">
        <v>552</v>
      </c>
      <c r="E12" s="0" t="s">
        <v>129</v>
      </c>
      <c r="F12" s="0" t="n">
        <v>3</v>
      </c>
      <c r="G12" s="0" t="s">
        <v>553</v>
      </c>
      <c r="H12" s="0" t="s">
        <v>315</v>
      </c>
      <c r="I12" s="9" t="str">
        <f aca="false">VLOOKUP(B12,M:O,3,0)</f>
        <v>17:30</v>
      </c>
      <c r="J12" s="10" t="str">
        <f aca="false">VLOOKUP(B12,M:P,4,0)</f>
        <v>PONTE SAN PIETRO ZONA CLINICA VIA XXIV MAGGIO</v>
      </c>
      <c r="M12" s="11" t="s">
        <v>407</v>
      </c>
      <c r="N12" s="0" t="s">
        <v>364</v>
      </c>
      <c r="O12" s="7" t="n">
        <v>0.708333333333333</v>
      </c>
      <c r="P12" s="0" t="s">
        <v>424</v>
      </c>
    </row>
    <row r="13" customFormat="false" ht="12" hidden="false" customHeight="true" outlineLevel="0" collapsed="false">
      <c r="A13" s="5" t="n">
        <v>46074</v>
      </c>
      <c r="B13" s="0" t="s">
        <v>560</v>
      </c>
      <c r="C13" s="0" t="s">
        <v>562</v>
      </c>
      <c r="D13" s="0" t="s">
        <v>552</v>
      </c>
      <c r="E13" s="0" t="s">
        <v>129</v>
      </c>
      <c r="F13" s="0" t="n">
        <v>3</v>
      </c>
      <c r="G13" s="0" t="s">
        <v>553</v>
      </c>
      <c r="H13" s="0" t="s">
        <v>315</v>
      </c>
      <c r="I13" s="9" t="str">
        <f aca="false">VLOOKUP(B13,M:O,3,0)</f>
        <v>14:30</v>
      </c>
      <c r="J13" s="10" t="str">
        <f aca="false">VLOOKUP(B13,M:P,4,0)</f>
        <v>BREMBATE VIA ORATORIO 20</v>
      </c>
      <c r="M13" s="11" t="s">
        <v>399</v>
      </c>
      <c r="N13" s="0" t="s">
        <v>364</v>
      </c>
      <c r="O13" s="7" t="n">
        <v>0.604166666666667</v>
      </c>
      <c r="P13" s="0" t="s">
        <v>570</v>
      </c>
    </row>
    <row r="14" customFormat="false" ht="12" hidden="false" customHeight="true" outlineLevel="0" collapsed="false">
      <c r="A14" s="5" t="n">
        <v>46074</v>
      </c>
      <c r="B14" s="0" t="s">
        <v>435</v>
      </c>
      <c r="C14" s="0" t="s">
        <v>442</v>
      </c>
      <c r="D14" s="0" t="s">
        <v>552</v>
      </c>
      <c r="E14" s="0" t="s">
        <v>129</v>
      </c>
      <c r="F14" s="0" t="n">
        <v>3</v>
      </c>
      <c r="G14" s="0" t="s">
        <v>553</v>
      </c>
      <c r="H14" s="0" t="s">
        <v>315</v>
      </c>
      <c r="I14" s="9" t="str">
        <f aca="false">VLOOKUP(B14,M:O,3,0)</f>
        <v>14:00</v>
      </c>
      <c r="J14" s="10" t="str">
        <f aca="false">VLOOKUP(B14,M:P,4,0)</f>
        <v>BRUSAPORTO VIA BELVEDERE 1</v>
      </c>
      <c r="M14" s="11" t="s">
        <v>417</v>
      </c>
      <c r="N14" s="0" t="s">
        <v>364</v>
      </c>
      <c r="O14" s="7" t="n">
        <v>0.583333333333333</v>
      </c>
      <c r="P14" s="0" t="s">
        <v>427</v>
      </c>
    </row>
    <row r="15" customFormat="false" ht="12" hidden="false" customHeight="true" outlineLevel="0" collapsed="false">
      <c r="A15" s="5" t="n">
        <v>46074</v>
      </c>
      <c r="B15" s="0" t="s">
        <v>559</v>
      </c>
      <c r="C15" s="0" t="s">
        <v>434</v>
      </c>
      <c r="D15" s="0" t="s">
        <v>552</v>
      </c>
      <c r="E15" s="0" t="s">
        <v>129</v>
      </c>
      <c r="F15" s="0" t="n">
        <v>3</v>
      </c>
      <c r="G15" s="0" t="s">
        <v>553</v>
      </c>
      <c r="H15" s="0" t="s">
        <v>315</v>
      </c>
      <c r="I15" s="9" t="str">
        <f aca="false">VLOOKUP(B15,M:O,3,0)</f>
        <v>14:30</v>
      </c>
      <c r="J15" s="10" t="str">
        <f aca="false">VLOOKUP(B15,M:P,4,0)</f>
        <v>SCANZOROSCIATE VIA POLCAREZZO 2</v>
      </c>
      <c r="M15" s="11" t="s">
        <v>503</v>
      </c>
      <c r="N15" s="0" t="s">
        <v>364</v>
      </c>
      <c r="O15" s="7" t="n">
        <v>0.59375</v>
      </c>
      <c r="P15" s="0" t="s">
        <v>405</v>
      </c>
    </row>
    <row r="16" customFormat="false" ht="12" hidden="false" customHeight="true" outlineLevel="0" collapsed="false">
      <c r="A16" s="5" t="n">
        <v>46074</v>
      </c>
      <c r="B16" s="0" t="s">
        <v>446</v>
      </c>
      <c r="C16" s="0" t="s">
        <v>451</v>
      </c>
      <c r="D16" s="0" t="s">
        <v>552</v>
      </c>
      <c r="E16" s="0" t="s">
        <v>129</v>
      </c>
      <c r="F16" s="0" t="n">
        <v>3</v>
      </c>
      <c r="G16" s="0" t="s">
        <v>553</v>
      </c>
      <c r="H16" s="0" t="s">
        <v>315</v>
      </c>
      <c r="I16" s="9" t="str">
        <f aca="false">VLOOKUP(B16,M:O,3,0)</f>
        <v>14:30</v>
      </c>
      <c r="J16" s="10" t="str">
        <f aca="false">VLOOKUP(B16,M:P,4,0)</f>
        <v>VILLA D'ALME' VIA RONCO BASSO 5</v>
      </c>
      <c r="M16" s="11" t="s">
        <v>571</v>
      </c>
      <c r="N16" s="0" t="s">
        <v>364</v>
      </c>
      <c r="O16" s="7" t="n">
        <v>0.604166666666667</v>
      </c>
      <c r="P16" s="0" t="s">
        <v>572</v>
      </c>
    </row>
    <row r="17" customFormat="false" ht="12" hidden="false" customHeight="true" outlineLevel="0" collapsed="false">
      <c r="A17" s="5" t="n">
        <v>46081</v>
      </c>
      <c r="B17" s="0" t="s">
        <v>442</v>
      </c>
      <c r="C17" s="0" t="s">
        <v>551</v>
      </c>
      <c r="D17" s="0" t="s">
        <v>552</v>
      </c>
      <c r="E17" s="0" t="s">
        <v>129</v>
      </c>
      <c r="F17" s="0" t="n">
        <v>4</v>
      </c>
      <c r="G17" s="0" t="s">
        <v>553</v>
      </c>
      <c r="H17" s="0" t="s">
        <v>315</v>
      </c>
      <c r="I17" s="9" t="str">
        <f aca="false">VLOOKUP(B17,M:O,3,0)</f>
        <v>14:00</v>
      </c>
      <c r="J17" s="10" t="str">
        <f aca="false">VLOOKUP(B17,M:P,4,0)</f>
        <v>ZANICA VIA COMUN NUOVO 26-28</v>
      </c>
      <c r="M17" s="0" t="s">
        <v>499</v>
      </c>
      <c r="N17" s="0" t="s">
        <v>364</v>
      </c>
      <c r="O17" s="7" t="n">
        <v>0.729166666666667</v>
      </c>
      <c r="P17" s="0" t="s">
        <v>573</v>
      </c>
    </row>
    <row r="18" customFormat="false" ht="12" hidden="false" customHeight="true" outlineLevel="0" collapsed="false">
      <c r="A18" s="5" t="n">
        <v>46081</v>
      </c>
      <c r="B18" s="0" t="s">
        <v>556</v>
      </c>
      <c r="C18" s="0" t="s">
        <v>559</v>
      </c>
      <c r="D18" s="0" t="s">
        <v>552</v>
      </c>
      <c r="E18" s="0" t="s">
        <v>129</v>
      </c>
      <c r="F18" s="0" t="n">
        <v>4</v>
      </c>
      <c r="G18" s="0" t="s">
        <v>553</v>
      </c>
      <c r="H18" s="0" t="s">
        <v>315</v>
      </c>
      <c r="I18" s="9" t="str">
        <f aca="false">VLOOKUP(B18,M:O,3,0)</f>
        <v>14:15</v>
      </c>
      <c r="J18" s="10" t="str">
        <f aca="false">VLOOKUP(B18,M:P,4,0)</f>
        <v>CARAVAGGIO VIA G.CASTOLDI 11</v>
      </c>
      <c r="M18" s="0" t="s">
        <v>391</v>
      </c>
      <c r="N18" s="0" t="s">
        <v>364</v>
      </c>
      <c r="O18" s="7" t="n">
        <v>0.583333333333333</v>
      </c>
      <c r="P18" s="0" t="s">
        <v>574</v>
      </c>
    </row>
    <row r="19" customFormat="false" ht="12" hidden="false" customHeight="true" outlineLevel="0" collapsed="false">
      <c r="A19" s="5" t="n">
        <v>46081</v>
      </c>
      <c r="B19" s="0" t="s">
        <v>562</v>
      </c>
      <c r="C19" s="0" t="s">
        <v>435</v>
      </c>
      <c r="D19" s="0" t="s">
        <v>552</v>
      </c>
      <c r="E19" s="0" t="s">
        <v>129</v>
      </c>
      <c r="F19" s="0" t="n">
        <v>4</v>
      </c>
      <c r="G19" s="0" t="s">
        <v>553</v>
      </c>
      <c r="H19" s="0" t="s">
        <v>315</v>
      </c>
      <c r="I19" s="9" t="str">
        <f aca="false">VLOOKUP(B19,M:O,3,0)</f>
        <v>14:30</v>
      </c>
      <c r="J19" s="10" t="str">
        <f aca="false">VLOOKUP(B19,M:P,4,0)</f>
        <v>TREZZO SULL'ADDA VIA ROCCA 19</v>
      </c>
      <c r="M19" s="0" t="s">
        <v>412</v>
      </c>
      <c r="N19" s="0" t="s">
        <v>364</v>
      </c>
      <c r="O19" s="7" t="n">
        <v>0.625</v>
      </c>
      <c r="P19" s="0" t="s">
        <v>428</v>
      </c>
    </row>
    <row r="20" customFormat="false" ht="12" hidden="false" customHeight="true" outlineLevel="0" collapsed="false">
      <c r="A20" s="5" t="n">
        <v>46081</v>
      </c>
      <c r="B20" s="0" t="s">
        <v>451</v>
      </c>
      <c r="C20" s="0" t="s">
        <v>560</v>
      </c>
      <c r="D20" s="0" t="s">
        <v>552</v>
      </c>
      <c r="E20" s="0" t="s">
        <v>129</v>
      </c>
      <c r="F20" s="0" t="n">
        <v>4</v>
      </c>
      <c r="G20" s="0" t="s">
        <v>553</v>
      </c>
      <c r="H20" s="0" t="s">
        <v>315</v>
      </c>
      <c r="I20" s="9" t="str">
        <f aca="false">VLOOKUP(B20,M:O,3,0)</f>
        <v>14:30</v>
      </c>
      <c r="J20" s="10" t="str">
        <f aca="false">VLOOKUP(B20,M:P,4,0)</f>
        <v>SARNICO VIA OLIMPIA 4</v>
      </c>
      <c r="M20" s="0" t="s">
        <v>386</v>
      </c>
      <c r="N20" s="0" t="s">
        <v>364</v>
      </c>
      <c r="O20" s="7" t="n">
        <v>0.645833333333333</v>
      </c>
      <c r="P20" s="0" t="s">
        <v>389</v>
      </c>
    </row>
    <row r="21" customFormat="false" ht="12" hidden="false" customHeight="true" outlineLevel="0" collapsed="false">
      <c r="A21" s="5" t="n">
        <v>46081</v>
      </c>
      <c r="B21" s="0" t="s">
        <v>434</v>
      </c>
      <c r="C21" s="0" t="s">
        <v>446</v>
      </c>
      <c r="D21" s="0" t="s">
        <v>552</v>
      </c>
      <c r="E21" s="0" t="s">
        <v>129</v>
      </c>
      <c r="F21" s="0" t="n">
        <v>4</v>
      </c>
      <c r="G21" s="0" t="s">
        <v>553</v>
      </c>
      <c r="H21" s="0" t="s">
        <v>315</v>
      </c>
      <c r="I21" s="9" t="str">
        <f aca="false">VLOOKUP(B21,M:O,3,0)</f>
        <v>16:00</v>
      </c>
      <c r="J21" s="10" t="str">
        <f aca="false">VLOOKUP(B21,M:P,4,0)</f>
        <v>CISERANO VIA MAZZINI 13</v>
      </c>
      <c r="M21" s="0" t="s">
        <v>575</v>
      </c>
      <c r="N21" s="0" t="s">
        <v>364</v>
      </c>
      <c r="O21" s="7" t="n">
        <v>0.604166666666667</v>
      </c>
      <c r="P21" s="0" t="s">
        <v>576</v>
      </c>
    </row>
    <row r="22" customFormat="false" ht="12" hidden="false" customHeight="true" outlineLevel="0" collapsed="false">
      <c r="A22" s="5" t="n">
        <v>46088</v>
      </c>
      <c r="B22" s="0" t="s">
        <v>551</v>
      </c>
      <c r="C22" s="0" t="s">
        <v>435</v>
      </c>
      <c r="D22" s="0" t="s">
        <v>552</v>
      </c>
      <c r="E22" s="0" t="s">
        <v>129</v>
      </c>
      <c r="F22" s="0" t="n">
        <v>5</v>
      </c>
      <c r="G22" s="0" t="s">
        <v>553</v>
      </c>
      <c r="H22" s="0" t="s">
        <v>315</v>
      </c>
      <c r="I22" s="9" t="str">
        <f aca="false">VLOOKUP(B22,M:O,3,0)</f>
        <v>17:30</v>
      </c>
      <c r="J22" s="10" t="str">
        <f aca="false">VLOOKUP(B22,M:P,4,0)</f>
        <v>PONTE SAN PIETRO ZONA CLINICA VIA XXIV MAGGIO</v>
      </c>
      <c r="M22" s="0" t="s">
        <v>577</v>
      </c>
      <c r="N22" s="0" t="s">
        <v>578</v>
      </c>
      <c r="O22" s="7" t="s">
        <v>565</v>
      </c>
      <c r="P22" s="0" t="s">
        <v>579</v>
      </c>
    </row>
    <row r="23" customFormat="false" ht="12" hidden="false" customHeight="true" outlineLevel="0" collapsed="false">
      <c r="A23" s="5" t="n">
        <v>46088</v>
      </c>
      <c r="B23" s="0" t="s">
        <v>560</v>
      </c>
      <c r="C23" s="0" t="s">
        <v>434</v>
      </c>
      <c r="D23" s="0" t="s">
        <v>552</v>
      </c>
      <c r="E23" s="0" t="s">
        <v>129</v>
      </c>
      <c r="F23" s="0" t="n">
        <v>5</v>
      </c>
      <c r="G23" s="0" t="s">
        <v>553</v>
      </c>
      <c r="H23" s="0" t="s">
        <v>315</v>
      </c>
      <c r="I23" s="9" t="str">
        <f aca="false">VLOOKUP(B23,M:O,3,0)</f>
        <v>14:30</v>
      </c>
      <c r="J23" s="10" t="str">
        <f aca="false">VLOOKUP(B23,M:P,4,0)</f>
        <v>BREMBATE VIA ORATORIO 20</v>
      </c>
      <c r="M23" s="0" t="s">
        <v>580</v>
      </c>
      <c r="N23" s="0" t="s">
        <v>578</v>
      </c>
      <c r="O23" s="7" t="s">
        <v>322</v>
      </c>
      <c r="P23" s="0" t="s">
        <v>581</v>
      </c>
    </row>
    <row r="24" customFormat="false" ht="12" hidden="false" customHeight="true" outlineLevel="0" collapsed="false">
      <c r="A24" s="5" t="n">
        <v>46088</v>
      </c>
      <c r="B24" s="0" t="s">
        <v>559</v>
      </c>
      <c r="C24" s="0" t="s">
        <v>442</v>
      </c>
      <c r="D24" s="0" t="s">
        <v>552</v>
      </c>
      <c r="E24" s="0" t="s">
        <v>129</v>
      </c>
      <c r="F24" s="0" t="n">
        <v>5</v>
      </c>
      <c r="G24" s="0" t="s">
        <v>553</v>
      </c>
      <c r="H24" s="0" t="s">
        <v>315</v>
      </c>
      <c r="I24" s="9" t="str">
        <f aca="false">VLOOKUP(B24,M:O,3,0)</f>
        <v>14:30</v>
      </c>
      <c r="J24" s="10" t="str">
        <f aca="false">VLOOKUP(B24,M:P,4,0)</f>
        <v>SCANZOROSCIATE VIA POLCAREZZO 2</v>
      </c>
      <c r="M24" s="0" t="s">
        <v>582</v>
      </c>
      <c r="N24" s="0" t="s">
        <v>578</v>
      </c>
      <c r="O24" s="7" t="s">
        <v>336</v>
      </c>
      <c r="P24" s="0" t="s">
        <v>583</v>
      </c>
    </row>
    <row r="25" customFormat="false" ht="12" hidden="false" customHeight="true" outlineLevel="0" collapsed="false">
      <c r="A25" s="5" t="n">
        <v>46088</v>
      </c>
      <c r="B25" s="0" t="s">
        <v>451</v>
      </c>
      <c r="C25" s="0" t="s">
        <v>562</v>
      </c>
      <c r="D25" s="0" t="s">
        <v>552</v>
      </c>
      <c r="E25" s="0" t="s">
        <v>129</v>
      </c>
      <c r="F25" s="0" t="n">
        <v>5</v>
      </c>
      <c r="G25" s="0" t="s">
        <v>553</v>
      </c>
      <c r="H25" s="0" t="s">
        <v>315</v>
      </c>
      <c r="I25" s="9" t="str">
        <f aca="false">VLOOKUP(B25,M:O,3,0)</f>
        <v>14:30</v>
      </c>
      <c r="J25" s="10" t="str">
        <f aca="false">VLOOKUP(B25,M:P,4,0)</f>
        <v>SARNICO VIA OLIMPIA 4</v>
      </c>
      <c r="M25" s="0" t="s">
        <v>584</v>
      </c>
      <c r="N25" s="0" t="s">
        <v>578</v>
      </c>
      <c r="O25" s="7" t="n">
        <v>0.447916666666667</v>
      </c>
      <c r="P25" s="0" t="s">
        <v>585</v>
      </c>
    </row>
    <row r="26" customFormat="false" ht="12" hidden="false" customHeight="true" outlineLevel="0" collapsed="false">
      <c r="A26" s="5" t="n">
        <v>46088</v>
      </c>
      <c r="B26" s="0" t="s">
        <v>446</v>
      </c>
      <c r="C26" s="0" t="s">
        <v>556</v>
      </c>
      <c r="D26" s="0" t="s">
        <v>552</v>
      </c>
      <c r="E26" s="0" t="s">
        <v>129</v>
      </c>
      <c r="F26" s="0" t="n">
        <v>5</v>
      </c>
      <c r="G26" s="0" t="s">
        <v>553</v>
      </c>
      <c r="H26" s="0" t="s">
        <v>315</v>
      </c>
      <c r="I26" s="9" t="str">
        <f aca="false">VLOOKUP(B26,M:O,3,0)</f>
        <v>14:30</v>
      </c>
      <c r="J26" s="10" t="str">
        <f aca="false">VLOOKUP(B26,M:P,4,0)</f>
        <v>VILLA D'ALME' VIA RONCO BASSO 5</v>
      </c>
      <c r="M26" s="0" t="s">
        <v>586</v>
      </c>
      <c r="N26" s="0" t="s">
        <v>578</v>
      </c>
      <c r="O26" s="7" t="s">
        <v>453</v>
      </c>
      <c r="P26" s="0" t="s">
        <v>587</v>
      </c>
    </row>
    <row r="27" customFormat="false" ht="12" hidden="false" customHeight="true" outlineLevel="0" collapsed="false">
      <c r="A27" s="5" t="n">
        <v>46095</v>
      </c>
      <c r="B27" s="0" t="s">
        <v>442</v>
      </c>
      <c r="C27" s="0" t="s">
        <v>446</v>
      </c>
      <c r="D27" s="0" t="s">
        <v>552</v>
      </c>
      <c r="E27" s="0" t="s">
        <v>129</v>
      </c>
      <c r="F27" s="0" t="n">
        <v>6</v>
      </c>
      <c r="G27" s="0" t="s">
        <v>553</v>
      </c>
      <c r="H27" s="0" t="s">
        <v>315</v>
      </c>
      <c r="I27" s="9" t="str">
        <f aca="false">VLOOKUP(B27,M:O,3,0)</f>
        <v>14:00</v>
      </c>
      <c r="J27" s="10" t="str">
        <f aca="false">VLOOKUP(B27,M:P,4,0)</f>
        <v>ZANICA VIA COMUN NUOVO 26-28</v>
      </c>
      <c r="M27" s="0" t="s">
        <v>588</v>
      </c>
      <c r="N27" s="0" t="s">
        <v>578</v>
      </c>
      <c r="O27" s="7" t="s">
        <v>331</v>
      </c>
      <c r="P27" s="0" t="s">
        <v>589</v>
      </c>
    </row>
    <row r="28" customFormat="false" ht="12" hidden="false" customHeight="true" outlineLevel="0" collapsed="false">
      <c r="A28" s="5" t="n">
        <v>46095</v>
      </c>
      <c r="B28" s="0" t="s">
        <v>435</v>
      </c>
      <c r="C28" s="0" t="s">
        <v>559</v>
      </c>
      <c r="D28" s="0" t="s">
        <v>552</v>
      </c>
      <c r="E28" s="0" t="s">
        <v>129</v>
      </c>
      <c r="F28" s="0" t="n">
        <v>6</v>
      </c>
      <c r="G28" s="0" t="s">
        <v>553</v>
      </c>
      <c r="H28" s="0" t="s">
        <v>315</v>
      </c>
      <c r="I28" s="9" t="str">
        <f aca="false">VLOOKUP(B28,M:O,3,0)</f>
        <v>14:00</v>
      </c>
      <c r="J28" s="10" t="str">
        <f aca="false">VLOOKUP(B28,M:P,4,0)</f>
        <v>BRUSAPORTO VIA BELVEDERE 1</v>
      </c>
      <c r="M28" s="0" t="s">
        <v>590</v>
      </c>
      <c r="N28" s="0" t="s">
        <v>578</v>
      </c>
      <c r="O28" s="7" t="s">
        <v>331</v>
      </c>
      <c r="P28" s="0" t="s">
        <v>591</v>
      </c>
    </row>
    <row r="29" customFormat="false" ht="12" hidden="false" customHeight="true" outlineLevel="0" collapsed="false">
      <c r="A29" s="5" t="n">
        <v>46095</v>
      </c>
      <c r="B29" s="0" t="s">
        <v>556</v>
      </c>
      <c r="C29" s="0" t="s">
        <v>560</v>
      </c>
      <c r="D29" s="0" t="s">
        <v>552</v>
      </c>
      <c r="E29" s="0" t="s">
        <v>129</v>
      </c>
      <c r="F29" s="0" t="n">
        <v>6</v>
      </c>
      <c r="G29" s="0" t="s">
        <v>553</v>
      </c>
      <c r="H29" s="0" t="s">
        <v>315</v>
      </c>
      <c r="I29" s="9" t="str">
        <f aca="false">VLOOKUP(B29,M:O,3,0)</f>
        <v>14:15</v>
      </c>
      <c r="J29" s="10" t="str">
        <f aca="false">VLOOKUP(B29,M:P,4,0)</f>
        <v>CARAVAGGIO VIA G.CASTOLDI 11</v>
      </c>
      <c r="M29" s="0" t="s">
        <v>592</v>
      </c>
      <c r="N29" s="0" t="s">
        <v>578</v>
      </c>
      <c r="O29" s="7" t="s">
        <v>318</v>
      </c>
      <c r="P29" s="0" t="s">
        <v>593</v>
      </c>
    </row>
    <row r="30" customFormat="false" ht="12" hidden="false" customHeight="true" outlineLevel="0" collapsed="false">
      <c r="A30" s="5" t="n">
        <v>46095</v>
      </c>
      <c r="B30" s="0" t="s">
        <v>562</v>
      </c>
      <c r="C30" s="0" t="s">
        <v>551</v>
      </c>
      <c r="D30" s="0" t="s">
        <v>552</v>
      </c>
      <c r="E30" s="0" t="s">
        <v>129</v>
      </c>
      <c r="F30" s="0" t="n">
        <v>6</v>
      </c>
      <c r="G30" s="0" t="s">
        <v>553</v>
      </c>
      <c r="H30" s="0" t="s">
        <v>315</v>
      </c>
      <c r="I30" s="9" t="str">
        <f aca="false">VLOOKUP(B30,M:O,3,0)</f>
        <v>14:30</v>
      </c>
      <c r="J30" s="10" t="str">
        <f aca="false">VLOOKUP(B30,M:P,4,0)</f>
        <v>TREZZO SULL'ADDA VIA ROCCA 19</v>
      </c>
      <c r="M30" s="0" t="s">
        <v>594</v>
      </c>
      <c r="N30" s="0" t="s">
        <v>578</v>
      </c>
      <c r="O30" s="7" t="s">
        <v>453</v>
      </c>
      <c r="P30" s="0" t="s">
        <v>595</v>
      </c>
    </row>
    <row r="31" customFormat="false" ht="12" hidden="false" customHeight="true" outlineLevel="0" collapsed="false">
      <c r="A31" s="5" t="n">
        <v>46095</v>
      </c>
      <c r="B31" s="0" t="s">
        <v>434</v>
      </c>
      <c r="C31" s="0" t="s">
        <v>451</v>
      </c>
      <c r="D31" s="0" t="s">
        <v>552</v>
      </c>
      <c r="E31" s="0" t="s">
        <v>129</v>
      </c>
      <c r="F31" s="0" t="n">
        <v>6</v>
      </c>
      <c r="G31" s="0" t="s">
        <v>553</v>
      </c>
      <c r="H31" s="0" t="s">
        <v>315</v>
      </c>
      <c r="I31" s="9" t="str">
        <f aca="false">VLOOKUP(B31,M:O,3,0)</f>
        <v>16:00</v>
      </c>
      <c r="J31" s="10" t="str">
        <f aca="false">VLOOKUP(B31,M:P,4,0)</f>
        <v>CISERANO VIA MAZZINI 13</v>
      </c>
      <c r="M31" s="0" t="s">
        <v>596</v>
      </c>
      <c r="N31" s="0" t="s">
        <v>69</v>
      </c>
      <c r="O31" s="7" t="n">
        <v>0.625</v>
      </c>
      <c r="P31" s="0" t="s">
        <v>597</v>
      </c>
    </row>
    <row r="32" customFormat="false" ht="12" hidden="false" customHeight="true" outlineLevel="0" collapsed="false">
      <c r="A32" s="5" t="n">
        <v>46102</v>
      </c>
      <c r="B32" s="0" t="s">
        <v>560</v>
      </c>
      <c r="C32" s="0" t="s">
        <v>442</v>
      </c>
      <c r="D32" s="0" t="s">
        <v>552</v>
      </c>
      <c r="E32" s="0" t="s">
        <v>129</v>
      </c>
      <c r="F32" s="0" t="n">
        <v>7</v>
      </c>
      <c r="G32" s="0" t="s">
        <v>553</v>
      </c>
      <c r="H32" s="0" t="s">
        <v>315</v>
      </c>
      <c r="I32" s="9" t="str">
        <f aca="false">VLOOKUP(B32,M:O,3,0)</f>
        <v>14:30</v>
      </c>
      <c r="J32" s="10" t="str">
        <f aca="false">VLOOKUP(B32,M:P,4,0)</f>
        <v>BREMBATE VIA ORATORIO 20</v>
      </c>
      <c r="M32" s="0" t="s">
        <v>598</v>
      </c>
      <c r="N32" s="0" t="s">
        <v>69</v>
      </c>
      <c r="O32" s="7" t="n">
        <v>0.65625</v>
      </c>
      <c r="P32" s="0" t="s">
        <v>599</v>
      </c>
    </row>
    <row r="33" customFormat="false" ht="12" hidden="false" customHeight="true" outlineLevel="0" collapsed="false">
      <c r="A33" s="5" t="n">
        <v>46102</v>
      </c>
      <c r="B33" s="0" t="s">
        <v>559</v>
      </c>
      <c r="C33" s="0" t="s">
        <v>551</v>
      </c>
      <c r="D33" s="0" t="s">
        <v>552</v>
      </c>
      <c r="E33" s="0" t="s">
        <v>129</v>
      </c>
      <c r="F33" s="0" t="n">
        <v>7</v>
      </c>
      <c r="G33" s="0" t="s">
        <v>553</v>
      </c>
      <c r="H33" s="0" t="s">
        <v>315</v>
      </c>
      <c r="I33" s="9" t="str">
        <f aca="false">VLOOKUP(B33,M:O,3,0)</f>
        <v>14:30</v>
      </c>
      <c r="J33" s="10" t="str">
        <f aca="false">VLOOKUP(B33,M:P,4,0)</f>
        <v>SCANZOROSCIATE VIA POLCAREZZO 2</v>
      </c>
      <c r="M33" s="0" t="s">
        <v>600</v>
      </c>
      <c r="N33" s="0" t="s">
        <v>69</v>
      </c>
      <c r="O33" s="7" t="n">
        <v>0.645833333333333</v>
      </c>
      <c r="P33" s="0" t="s">
        <v>427</v>
      </c>
    </row>
    <row r="34" customFormat="false" ht="12" hidden="false" customHeight="true" outlineLevel="0" collapsed="false">
      <c r="A34" s="5" t="n">
        <v>46102</v>
      </c>
      <c r="B34" s="0" t="s">
        <v>451</v>
      </c>
      <c r="C34" s="0" t="s">
        <v>556</v>
      </c>
      <c r="D34" s="0" t="s">
        <v>552</v>
      </c>
      <c r="E34" s="0" t="s">
        <v>129</v>
      </c>
      <c r="F34" s="0" t="n">
        <v>7</v>
      </c>
      <c r="G34" s="0" t="s">
        <v>553</v>
      </c>
      <c r="H34" s="0" t="s">
        <v>315</v>
      </c>
      <c r="I34" s="9" t="str">
        <f aca="false">VLOOKUP(B34,M:O,3,0)</f>
        <v>14:30</v>
      </c>
      <c r="J34" s="10" t="str">
        <f aca="false">VLOOKUP(B34,M:P,4,0)</f>
        <v>SARNICO VIA OLIMPIA 4</v>
      </c>
      <c r="M34" s="0" t="s">
        <v>601</v>
      </c>
      <c r="N34" s="0" t="s">
        <v>69</v>
      </c>
      <c r="O34" s="7" t="n">
        <v>0.59375</v>
      </c>
      <c r="P34" s="0" t="s">
        <v>405</v>
      </c>
    </row>
    <row r="35" customFormat="false" ht="12" hidden="false" customHeight="true" outlineLevel="0" collapsed="false">
      <c r="A35" s="5" t="n">
        <v>46102</v>
      </c>
      <c r="B35" s="0" t="s">
        <v>446</v>
      </c>
      <c r="C35" s="0" t="s">
        <v>435</v>
      </c>
      <c r="D35" s="0" t="s">
        <v>552</v>
      </c>
      <c r="E35" s="0" t="s">
        <v>129</v>
      </c>
      <c r="F35" s="0" t="n">
        <v>7</v>
      </c>
      <c r="G35" s="0" t="s">
        <v>553</v>
      </c>
      <c r="H35" s="0" t="s">
        <v>315</v>
      </c>
      <c r="I35" s="9" t="str">
        <f aca="false">VLOOKUP(B35,M:O,3,0)</f>
        <v>14:30</v>
      </c>
      <c r="J35" s="10" t="str">
        <f aca="false">VLOOKUP(B35,M:P,4,0)</f>
        <v>VILLA D'ALME' VIA RONCO BASSO 5</v>
      </c>
      <c r="M35" s="0" t="s">
        <v>602</v>
      </c>
      <c r="N35" s="0" t="s">
        <v>69</v>
      </c>
      <c r="O35" s="7" t="n">
        <v>0.625</v>
      </c>
      <c r="P35" s="0" t="s">
        <v>603</v>
      </c>
    </row>
    <row r="36" customFormat="false" ht="12" hidden="false" customHeight="true" outlineLevel="0" collapsed="false">
      <c r="A36" s="5" t="n">
        <v>46102</v>
      </c>
      <c r="B36" s="0" t="s">
        <v>434</v>
      </c>
      <c r="C36" s="0" t="s">
        <v>562</v>
      </c>
      <c r="D36" s="0" t="s">
        <v>552</v>
      </c>
      <c r="E36" s="0" t="s">
        <v>129</v>
      </c>
      <c r="F36" s="0" t="n">
        <v>7</v>
      </c>
      <c r="G36" s="0" t="s">
        <v>553</v>
      </c>
      <c r="H36" s="0" t="s">
        <v>315</v>
      </c>
      <c r="I36" s="9" t="str">
        <f aca="false">VLOOKUP(B36,M:O,3,0)</f>
        <v>16:00</v>
      </c>
      <c r="J36" s="10" t="str">
        <f aca="false">VLOOKUP(B36,M:P,4,0)</f>
        <v>CISERANO VIA MAZZINI 13</v>
      </c>
      <c r="M36" s="0" t="s">
        <v>604</v>
      </c>
      <c r="N36" s="0" t="s">
        <v>69</v>
      </c>
      <c r="O36" s="7" t="n">
        <v>0.625</v>
      </c>
      <c r="P36" s="0" t="s">
        <v>605</v>
      </c>
    </row>
    <row r="37" customFormat="false" ht="12" hidden="false" customHeight="true" outlineLevel="0" collapsed="false">
      <c r="A37" s="5" t="n">
        <v>46109</v>
      </c>
      <c r="B37" s="0" t="s">
        <v>551</v>
      </c>
      <c r="C37" s="0" t="s">
        <v>446</v>
      </c>
      <c r="D37" s="0" t="s">
        <v>552</v>
      </c>
      <c r="E37" s="0" t="s">
        <v>129</v>
      </c>
      <c r="F37" s="0" t="n">
        <v>8</v>
      </c>
      <c r="G37" s="0" t="s">
        <v>553</v>
      </c>
      <c r="H37" s="0" t="s">
        <v>315</v>
      </c>
      <c r="I37" s="9" t="str">
        <f aca="false">VLOOKUP(B37,M:O,3,0)</f>
        <v>17:30</v>
      </c>
      <c r="J37" s="10" t="str">
        <f aca="false">VLOOKUP(B37,M:P,4,0)</f>
        <v>PONTE SAN PIETRO ZONA CLINICA VIA XXIV MAGGIO</v>
      </c>
      <c r="M37" s="0" t="s">
        <v>606</v>
      </c>
      <c r="N37" s="0" t="s">
        <v>69</v>
      </c>
      <c r="O37" s="7" t="n">
        <v>0.65625</v>
      </c>
      <c r="P37" s="0" t="s">
        <v>607</v>
      </c>
    </row>
    <row r="38" customFormat="false" ht="12" hidden="false" customHeight="true" outlineLevel="0" collapsed="false">
      <c r="A38" s="5" t="n">
        <v>46109</v>
      </c>
      <c r="B38" s="0" t="s">
        <v>442</v>
      </c>
      <c r="C38" s="0" t="s">
        <v>451</v>
      </c>
      <c r="D38" s="0" t="s">
        <v>552</v>
      </c>
      <c r="E38" s="0" t="s">
        <v>129</v>
      </c>
      <c r="F38" s="0" t="n">
        <v>8</v>
      </c>
      <c r="G38" s="0" t="s">
        <v>553</v>
      </c>
      <c r="H38" s="0" t="s">
        <v>315</v>
      </c>
      <c r="I38" s="9" t="str">
        <f aca="false">VLOOKUP(B38,M:O,3,0)</f>
        <v>14:00</v>
      </c>
      <c r="J38" s="10" t="str">
        <f aca="false">VLOOKUP(B38,M:P,4,0)</f>
        <v>ZANICA VIA COMUN NUOVO 26-28</v>
      </c>
      <c r="M38" s="0" t="s">
        <v>608</v>
      </c>
      <c r="N38" s="0" t="s">
        <v>69</v>
      </c>
      <c r="O38" s="7" t="n">
        <v>0.604166666666667</v>
      </c>
      <c r="P38" s="0" t="s">
        <v>609</v>
      </c>
    </row>
    <row r="39" customFormat="false" ht="12" hidden="false" customHeight="true" outlineLevel="0" collapsed="false">
      <c r="A39" s="5" t="n">
        <v>46109</v>
      </c>
      <c r="B39" s="0" t="s">
        <v>435</v>
      </c>
      <c r="C39" s="0" t="s">
        <v>560</v>
      </c>
      <c r="D39" s="0" t="s">
        <v>552</v>
      </c>
      <c r="E39" s="0" t="s">
        <v>129</v>
      </c>
      <c r="F39" s="0" t="n">
        <v>8</v>
      </c>
      <c r="G39" s="0" t="s">
        <v>553</v>
      </c>
      <c r="H39" s="0" t="s">
        <v>315</v>
      </c>
      <c r="I39" s="9" t="str">
        <f aca="false">VLOOKUP(B39,M:O,3,0)</f>
        <v>14:00</v>
      </c>
      <c r="J39" s="10" t="str">
        <f aca="false">VLOOKUP(B39,M:P,4,0)</f>
        <v>BRUSAPORTO VIA BELVEDERE 1</v>
      </c>
      <c r="M39" s="0" t="s">
        <v>440</v>
      </c>
      <c r="N39" s="0" t="s">
        <v>69</v>
      </c>
      <c r="O39" s="7" t="n">
        <v>0.625</v>
      </c>
      <c r="P39" s="0" t="s">
        <v>610</v>
      </c>
    </row>
    <row r="40" customFormat="false" ht="12" hidden="false" customHeight="true" outlineLevel="0" collapsed="false">
      <c r="A40" s="5" t="n">
        <v>46109</v>
      </c>
      <c r="B40" s="0" t="s">
        <v>556</v>
      </c>
      <c r="C40" s="0" t="s">
        <v>434</v>
      </c>
      <c r="D40" s="0" t="s">
        <v>552</v>
      </c>
      <c r="E40" s="0" t="s">
        <v>129</v>
      </c>
      <c r="F40" s="0" t="n">
        <v>8</v>
      </c>
      <c r="G40" s="0" t="s">
        <v>553</v>
      </c>
      <c r="H40" s="0" t="s">
        <v>315</v>
      </c>
      <c r="I40" s="9" t="str">
        <f aca="false">VLOOKUP(B40,M:O,3,0)</f>
        <v>14:15</v>
      </c>
      <c r="J40" s="10" t="str">
        <f aca="false">VLOOKUP(B40,M:P,4,0)</f>
        <v>CARAVAGGIO VIA G.CASTOLDI 11</v>
      </c>
      <c r="M40" s="0" t="s">
        <v>611</v>
      </c>
      <c r="N40" s="0" t="s">
        <v>612</v>
      </c>
      <c r="O40" s="7" t="s">
        <v>481</v>
      </c>
      <c r="P40" s="0" t="s">
        <v>613</v>
      </c>
    </row>
    <row r="41" customFormat="false" ht="12" hidden="false" customHeight="true" outlineLevel="0" collapsed="false">
      <c r="A41" s="5" t="n">
        <v>46109</v>
      </c>
      <c r="B41" s="0" t="s">
        <v>559</v>
      </c>
      <c r="C41" s="0" t="s">
        <v>562</v>
      </c>
      <c r="D41" s="0" t="s">
        <v>552</v>
      </c>
      <c r="E41" s="0" t="s">
        <v>129</v>
      </c>
      <c r="F41" s="0" t="n">
        <v>8</v>
      </c>
      <c r="G41" s="0" t="s">
        <v>553</v>
      </c>
      <c r="H41" s="0" t="s">
        <v>315</v>
      </c>
      <c r="I41" s="9" t="str">
        <f aca="false">VLOOKUP(B41,M:O,3,0)</f>
        <v>14:30</v>
      </c>
      <c r="J41" s="10" t="str">
        <f aca="false">VLOOKUP(B41,M:P,4,0)</f>
        <v>SCANZOROSCIATE VIA POLCAREZZO 2</v>
      </c>
      <c r="M41" s="0" t="s">
        <v>614</v>
      </c>
      <c r="N41" s="0" t="s">
        <v>612</v>
      </c>
      <c r="O41" s="7" t="s">
        <v>478</v>
      </c>
      <c r="P41" s="0" t="s">
        <v>615</v>
      </c>
    </row>
    <row r="42" customFormat="false" ht="12" hidden="false" customHeight="true" outlineLevel="0" collapsed="false">
      <c r="A42" s="5" t="n">
        <v>46123</v>
      </c>
      <c r="B42" s="0" t="s">
        <v>560</v>
      </c>
      <c r="C42" s="0" t="s">
        <v>551</v>
      </c>
      <c r="D42" s="0" t="s">
        <v>552</v>
      </c>
      <c r="E42" s="0" t="s">
        <v>129</v>
      </c>
      <c r="F42" s="0" t="n">
        <v>9</v>
      </c>
      <c r="G42" s="0" t="s">
        <v>553</v>
      </c>
      <c r="H42" s="0" t="s">
        <v>315</v>
      </c>
      <c r="I42" s="9" t="str">
        <f aca="false">VLOOKUP(B42,M:O,3,0)</f>
        <v>14:30</v>
      </c>
      <c r="J42" s="10" t="str">
        <f aca="false">VLOOKUP(B42,M:P,4,0)</f>
        <v>BREMBATE VIA ORATORIO 20</v>
      </c>
      <c r="M42" s="0" t="s">
        <v>616</v>
      </c>
      <c r="N42" s="0" t="s">
        <v>612</v>
      </c>
      <c r="O42" s="7" t="s">
        <v>478</v>
      </c>
      <c r="P42" s="0" t="s">
        <v>617</v>
      </c>
    </row>
    <row r="43" customFormat="false" ht="12" hidden="false" customHeight="true" outlineLevel="0" collapsed="false">
      <c r="A43" s="5" t="n">
        <v>46123</v>
      </c>
      <c r="B43" s="0" t="s">
        <v>562</v>
      </c>
      <c r="C43" s="0" t="s">
        <v>556</v>
      </c>
      <c r="D43" s="0" t="s">
        <v>552</v>
      </c>
      <c r="E43" s="0" t="s">
        <v>129</v>
      </c>
      <c r="F43" s="0" t="n">
        <v>9</v>
      </c>
      <c r="G43" s="0" t="s">
        <v>553</v>
      </c>
      <c r="H43" s="0" t="s">
        <v>315</v>
      </c>
      <c r="I43" s="9" t="str">
        <f aca="false">VLOOKUP(B43,M:O,3,0)</f>
        <v>14:30</v>
      </c>
      <c r="J43" s="10" t="str">
        <f aca="false">VLOOKUP(B43,M:P,4,0)</f>
        <v>TREZZO SULL'ADDA VIA ROCCA 19</v>
      </c>
      <c r="M43" s="0" t="s">
        <v>618</v>
      </c>
      <c r="N43" s="0" t="s">
        <v>612</v>
      </c>
      <c r="O43" s="7" t="s">
        <v>478</v>
      </c>
      <c r="P43" s="0" t="s">
        <v>619</v>
      </c>
    </row>
    <row r="44" customFormat="false" ht="12" hidden="false" customHeight="true" outlineLevel="0" collapsed="false">
      <c r="A44" s="5" t="n">
        <v>46123</v>
      </c>
      <c r="B44" s="0" t="s">
        <v>451</v>
      </c>
      <c r="C44" s="0" t="s">
        <v>435</v>
      </c>
      <c r="D44" s="0" t="s">
        <v>552</v>
      </c>
      <c r="E44" s="0" t="s">
        <v>129</v>
      </c>
      <c r="F44" s="0" t="n">
        <v>9</v>
      </c>
      <c r="G44" s="0" t="s">
        <v>553</v>
      </c>
      <c r="H44" s="0" t="s">
        <v>315</v>
      </c>
      <c r="I44" s="9" t="str">
        <f aca="false">VLOOKUP(B44,M:O,3,0)</f>
        <v>14:30</v>
      </c>
      <c r="J44" s="10" t="str">
        <f aca="false">VLOOKUP(B44,M:P,4,0)</f>
        <v>SARNICO VIA OLIMPIA 4</v>
      </c>
      <c r="M44" s="0" t="s">
        <v>620</v>
      </c>
      <c r="N44" s="0" t="s">
        <v>612</v>
      </c>
      <c r="O44" s="7" t="s">
        <v>621</v>
      </c>
      <c r="P44" s="0" t="s">
        <v>622</v>
      </c>
    </row>
    <row r="45" customFormat="false" ht="12" hidden="false" customHeight="true" outlineLevel="0" collapsed="false">
      <c r="A45" s="5" t="n">
        <v>46123</v>
      </c>
      <c r="B45" s="0" t="s">
        <v>446</v>
      </c>
      <c r="C45" s="0" t="s">
        <v>559</v>
      </c>
      <c r="D45" s="0" t="s">
        <v>552</v>
      </c>
      <c r="E45" s="0" t="s">
        <v>129</v>
      </c>
      <c r="F45" s="0" t="n">
        <v>9</v>
      </c>
      <c r="G45" s="0" t="s">
        <v>553</v>
      </c>
      <c r="H45" s="0" t="s">
        <v>315</v>
      </c>
      <c r="I45" s="9" t="str">
        <f aca="false">VLOOKUP(B45,M:O,3,0)</f>
        <v>14:30</v>
      </c>
      <c r="J45" s="10" t="str">
        <f aca="false">VLOOKUP(B45,M:P,4,0)</f>
        <v>VILLA D'ALME' VIA RONCO BASSO 5</v>
      </c>
      <c r="M45" s="0" t="s">
        <v>623</v>
      </c>
      <c r="N45" s="0" t="s">
        <v>612</v>
      </c>
      <c r="O45" s="7" t="s">
        <v>624</v>
      </c>
      <c r="P45" s="0" t="s">
        <v>625</v>
      </c>
    </row>
    <row r="46" customFormat="false" ht="12" hidden="false" customHeight="true" outlineLevel="0" collapsed="false">
      <c r="A46" s="5" t="n">
        <v>46123</v>
      </c>
      <c r="B46" s="0" t="s">
        <v>434</v>
      </c>
      <c r="C46" s="0" t="s">
        <v>442</v>
      </c>
      <c r="D46" s="0" t="s">
        <v>552</v>
      </c>
      <c r="E46" s="0" t="s">
        <v>129</v>
      </c>
      <c r="F46" s="0" t="n">
        <v>9</v>
      </c>
      <c r="G46" s="0" t="s">
        <v>553</v>
      </c>
      <c r="H46" s="0" t="s">
        <v>315</v>
      </c>
      <c r="I46" s="9" t="str">
        <f aca="false">VLOOKUP(B46,M:O,3,0)</f>
        <v>16:00</v>
      </c>
      <c r="J46" s="10" t="str">
        <f aca="false">VLOOKUP(B46,M:P,4,0)</f>
        <v>CISERANO VIA MAZZINI 13</v>
      </c>
      <c r="M46" s="0" t="s">
        <v>626</v>
      </c>
      <c r="N46" s="0" t="s">
        <v>612</v>
      </c>
      <c r="O46" s="7" t="s">
        <v>627</v>
      </c>
      <c r="P46" s="0" t="s">
        <v>628</v>
      </c>
    </row>
    <row r="47" customFormat="false" ht="12" hidden="false" customHeight="true" outlineLevel="0" collapsed="false">
      <c r="A47" s="5" t="n">
        <v>46060</v>
      </c>
      <c r="B47" s="0" t="s">
        <v>407</v>
      </c>
      <c r="C47" s="0" t="s">
        <v>575</v>
      </c>
      <c r="D47" s="0" t="s">
        <v>552</v>
      </c>
      <c r="E47" s="0" t="s">
        <v>364</v>
      </c>
      <c r="F47" s="0" t="n">
        <v>1</v>
      </c>
      <c r="G47" s="0" t="s">
        <v>553</v>
      </c>
      <c r="H47" s="0" t="s">
        <v>290</v>
      </c>
      <c r="I47" s="9" t="n">
        <f aca="false">VLOOKUP(B47,M:O,3,0)</f>
        <v>0.708333333333333</v>
      </c>
      <c r="J47" s="10" t="str">
        <f aca="false">VLOOKUP(B47,M:P,4,0)</f>
        <v>FILAGO VIA ANTONIO LOCATELLI 42</v>
      </c>
      <c r="M47" s="0" t="s">
        <v>629</v>
      </c>
      <c r="N47" s="0" t="s">
        <v>612</v>
      </c>
      <c r="O47" s="7" t="s">
        <v>630</v>
      </c>
      <c r="P47" s="0" t="s">
        <v>631</v>
      </c>
    </row>
    <row r="48" customFormat="false" ht="12" hidden="false" customHeight="true" outlineLevel="0" collapsed="false">
      <c r="A48" s="5" t="n">
        <v>46060</v>
      </c>
      <c r="B48" s="0" t="s">
        <v>399</v>
      </c>
      <c r="C48" s="0" t="s">
        <v>386</v>
      </c>
      <c r="D48" s="0" t="s">
        <v>552</v>
      </c>
      <c r="E48" s="0" t="s">
        <v>364</v>
      </c>
      <c r="F48" s="0" t="n">
        <v>1</v>
      </c>
      <c r="G48" s="0" t="s">
        <v>553</v>
      </c>
      <c r="H48" s="0" t="s">
        <v>290</v>
      </c>
      <c r="I48" s="9" t="n">
        <f aca="false">VLOOKUP(B48,M:O,3,0)</f>
        <v>0.604166666666667</v>
      </c>
      <c r="J48" s="10" t="str">
        <f aca="false">VLOOKUP(B48,M:P,4,0)</f>
        <v>ALMENNO SAN BARTOLOMEO VIA F.LLI RONCELLI 2</v>
      </c>
      <c r="M48" s="0" t="s">
        <v>632</v>
      </c>
      <c r="N48" s="0" t="s">
        <v>612</v>
      </c>
      <c r="O48" s="7" t="s">
        <v>633</v>
      </c>
      <c r="P48" s="0" t="s">
        <v>634</v>
      </c>
    </row>
    <row r="49" customFormat="false" ht="12" hidden="false" customHeight="true" outlineLevel="0" collapsed="false">
      <c r="A49" s="5" t="n">
        <v>46060</v>
      </c>
      <c r="B49" s="0" t="s">
        <v>417</v>
      </c>
      <c r="C49" s="0" t="s">
        <v>499</v>
      </c>
      <c r="D49" s="0" t="s">
        <v>552</v>
      </c>
      <c r="E49" s="0" t="s">
        <v>364</v>
      </c>
      <c r="F49" s="0" t="n">
        <v>1</v>
      </c>
      <c r="G49" s="0" t="s">
        <v>553</v>
      </c>
      <c r="H49" s="0" t="s">
        <v>290</v>
      </c>
      <c r="I49" s="9" t="n">
        <f aca="false">VLOOKUP(B49,M:O,3,0)</f>
        <v>0.583333333333333</v>
      </c>
      <c r="J49" s="10" t="str">
        <f aca="false">VLOOKUP(B49,M:P,4,0)</f>
        <v>CARVICO VIA PEDRAZZI</v>
      </c>
    </row>
    <row r="50" customFormat="false" ht="12" hidden="false" customHeight="true" outlineLevel="0" collapsed="false">
      <c r="A50" s="5" t="n">
        <v>46060</v>
      </c>
      <c r="B50" s="0" t="s">
        <v>503</v>
      </c>
      <c r="C50" s="0" t="s">
        <v>412</v>
      </c>
      <c r="D50" s="0" t="s">
        <v>552</v>
      </c>
      <c r="E50" s="0" t="s">
        <v>364</v>
      </c>
      <c r="F50" s="0" t="n">
        <v>1</v>
      </c>
      <c r="G50" s="0" t="s">
        <v>553</v>
      </c>
      <c r="H50" s="0" t="s">
        <v>290</v>
      </c>
      <c r="I50" s="9" t="n">
        <f aca="false">VLOOKUP(B50,M:O,3,0)</f>
        <v>0.59375</v>
      </c>
      <c r="J50" s="10" t="str">
        <f aca="false">VLOOKUP(B50,M:P,4,0)</f>
        <v>MAPELLO VIA DEL LAZZARINO 1</v>
      </c>
    </row>
    <row r="51" customFormat="false" ht="12" hidden="false" customHeight="true" outlineLevel="0" collapsed="false">
      <c r="A51" s="5" t="n">
        <v>46060</v>
      </c>
      <c r="B51" s="0" t="s">
        <v>571</v>
      </c>
      <c r="C51" s="0" t="s">
        <v>391</v>
      </c>
      <c r="D51" s="0" t="s">
        <v>552</v>
      </c>
      <c r="E51" s="0" t="s">
        <v>364</v>
      </c>
      <c r="F51" s="0" t="n">
        <v>1</v>
      </c>
      <c r="G51" s="0" t="s">
        <v>553</v>
      </c>
      <c r="H51" s="0" t="s">
        <v>290</v>
      </c>
      <c r="I51" s="9" t="n">
        <f aca="false">VLOOKUP(B51,M:O,3,0)</f>
        <v>0.604166666666667</v>
      </c>
      <c r="J51" s="10" t="str">
        <f aca="false">VLOOKUP(B51,M:P,4,0)</f>
        <v>VILLA D'ALME' VIA RONCO BASSO 5</v>
      </c>
    </row>
    <row r="52" customFormat="false" ht="12" hidden="false" customHeight="true" outlineLevel="0" collapsed="false">
      <c r="A52" s="5" t="n">
        <v>46067</v>
      </c>
      <c r="B52" s="0" t="s">
        <v>499</v>
      </c>
      <c r="C52" s="0" t="s">
        <v>399</v>
      </c>
      <c r="D52" s="0" t="s">
        <v>552</v>
      </c>
      <c r="E52" s="0" t="s">
        <v>364</v>
      </c>
      <c r="F52" s="0" t="n">
        <v>2</v>
      </c>
      <c r="G52" s="0" t="s">
        <v>553</v>
      </c>
      <c r="H52" s="0" t="s">
        <v>290</v>
      </c>
      <c r="I52" s="9" t="n">
        <f aca="false">VLOOKUP(B52,M:O,3,0)</f>
        <v>0.729166666666667</v>
      </c>
      <c r="J52" s="10" t="str">
        <f aca="false">VLOOKUP(B52,M:P,4,0)</f>
        <v>PONTE SAN PIETRO ZONA CLINICA VIA XXIV MAGGIO</v>
      </c>
    </row>
    <row r="53" customFormat="false" ht="12" hidden="false" customHeight="true" outlineLevel="0" collapsed="false">
      <c r="A53" s="5" t="n">
        <v>46067</v>
      </c>
      <c r="B53" s="0" t="s">
        <v>391</v>
      </c>
      <c r="C53" s="0" t="s">
        <v>417</v>
      </c>
      <c r="D53" s="0" t="s">
        <v>552</v>
      </c>
      <c r="E53" s="0" t="s">
        <v>364</v>
      </c>
      <c r="F53" s="0" t="n">
        <v>2</v>
      </c>
      <c r="G53" s="0" t="s">
        <v>553</v>
      </c>
      <c r="H53" s="0" t="s">
        <v>290</v>
      </c>
      <c r="I53" s="9" t="n">
        <f aca="false">VLOOKUP(B53,M:O,3,0)</f>
        <v>0.583333333333333</v>
      </c>
      <c r="J53" s="10" t="str">
        <f aca="false">VLOOKUP(B53,M:P,4,0)</f>
        <v>BERBENNO VIA STOPPANI 114</v>
      </c>
    </row>
    <row r="54" customFormat="false" ht="12" hidden="false" customHeight="true" outlineLevel="0" collapsed="false">
      <c r="A54" s="5" t="n">
        <v>46067</v>
      </c>
      <c r="B54" s="0" t="s">
        <v>412</v>
      </c>
      <c r="C54" s="0" t="s">
        <v>407</v>
      </c>
      <c r="D54" s="0" t="s">
        <v>552</v>
      </c>
      <c r="E54" s="0" t="s">
        <v>364</v>
      </c>
      <c r="F54" s="0" t="n">
        <v>2</v>
      </c>
      <c r="G54" s="0" t="s">
        <v>553</v>
      </c>
      <c r="H54" s="0" t="s">
        <v>290</v>
      </c>
      <c r="I54" s="9" t="n">
        <f aca="false">VLOOKUP(B54,M:O,3,0)</f>
        <v>0.625</v>
      </c>
      <c r="J54" s="10" t="str">
        <f aca="false">VLOOKUP(B54,M:P,4,0)</f>
        <v>BONATE SOTTO VIA GARIBALDI 15</v>
      </c>
    </row>
    <row r="55" customFormat="false" ht="12" hidden="false" customHeight="true" outlineLevel="0" collapsed="false">
      <c r="A55" s="5" t="n">
        <v>46067</v>
      </c>
      <c r="B55" s="0" t="s">
        <v>386</v>
      </c>
      <c r="C55" s="0" t="s">
        <v>503</v>
      </c>
      <c r="D55" s="0" t="s">
        <v>552</v>
      </c>
      <c r="E55" s="0" t="s">
        <v>364</v>
      </c>
      <c r="F55" s="0" t="n">
        <v>2</v>
      </c>
      <c r="G55" s="0" t="s">
        <v>553</v>
      </c>
      <c r="H55" s="0" t="s">
        <v>290</v>
      </c>
      <c r="I55" s="9" t="n">
        <f aca="false">VLOOKUP(B55,M:O,3,0)</f>
        <v>0.645833333333333</v>
      </c>
      <c r="J55" s="10" t="str">
        <f aca="false">VLOOKUP(B55,M:P,4,0)</f>
        <v>BREMBATE DI SOPRA VIA DON GIOVANNI SALA SNC</v>
      </c>
    </row>
    <row r="56" customFormat="false" ht="12" hidden="false" customHeight="true" outlineLevel="0" collapsed="false">
      <c r="A56" s="5" t="n">
        <v>46067</v>
      </c>
      <c r="B56" s="0" t="s">
        <v>575</v>
      </c>
      <c r="C56" s="0" t="s">
        <v>571</v>
      </c>
      <c r="D56" s="0" t="s">
        <v>552</v>
      </c>
      <c r="E56" s="0" t="s">
        <v>364</v>
      </c>
      <c r="F56" s="0" t="n">
        <v>2</v>
      </c>
      <c r="G56" s="0" t="s">
        <v>553</v>
      </c>
      <c r="H56" s="0" t="s">
        <v>290</v>
      </c>
      <c r="I56" s="9" t="n">
        <f aca="false">VLOOKUP(B56,M:O,3,0)</f>
        <v>0.604166666666667</v>
      </c>
      <c r="J56" s="10" t="str">
        <f aca="false">VLOOKUP(B56,M:P,4,0)</f>
        <v>PALADINA VIA DEGLI ALPINI N.1</v>
      </c>
    </row>
    <row r="57" customFormat="false" ht="12" hidden="false" customHeight="true" outlineLevel="0" collapsed="false">
      <c r="A57" s="5" t="n">
        <v>46074</v>
      </c>
      <c r="B57" s="0" t="s">
        <v>407</v>
      </c>
      <c r="C57" s="0" t="s">
        <v>386</v>
      </c>
      <c r="D57" s="0" t="s">
        <v>552</v>
      </c>
      <c r="E57" s="0" t="s">
        <v>364</v>
      </c>
      <c r="F57" s="0" t="n">
        <v>3</v>
      </c>
      <c r="G57" s="0" t="s">
        <v>553</v>
      </c>
      <c r="H57" s="0" t="s">
        <v>290</v>
      </c>
      <c r="I57" s="9" t="n">
        <f aca="false">VLOOKUP(B57,M:O,3,0)</f>
        <v>0.708333333333333</v>
      </c>
      <c r="J57" s="10" t="str">
        <f aca="false">VLOOKUP(B57,M:P,4,0)</f>
        <v>FILAGO VIA ANTONIO LOCATELLI 42</v>
      </c>
    </row>
    <row r="58" customFormat="false" ht="12" hidden="false" customHeight="true" outlineLevel="0" collapsed="false">
      <c r="A58" s="5" t="n">
        <v>46074</v>
      </c>
      <c r="B58" s="0" t="s">
        <v>575</v>
      </c>
      <c r="C58" s="0" t="s">
        <v>391</v>
      </c>
      <c r="D58" s="0" t="s">
        <v>552</v>
      </c>
      <c r="E58" s="0" t="s">
        <v>364</v>
      </c>
      <c r="F58" s="0" t="n">
        <v>3</v>
      </c>
      <c r="G58" s="0" t="s">
        <v>553</v>
      </c>
      <c r="H58" s="0" t="s">
        <v>290</v>
      </c>
      <c r="I58" s="9" t="n">
        <f aca="false">VLOOKUP(B58,M:O,3,0)</f>
        <v>0.604166666666667</v>
      </c>
      <c r="J58" s="10" t="str">
        <f aca="false">VLOOKUP(B58,M:P,4,0)</f>
        <v>PALADINA VIA DEGLI ALPINI N.1</v>
      </c>
    </row>
    <row r="59" customFormat="false" ht="12" hidden="false" customHeight="true" outlineLevel="0" collapsed="false">
      <c r="A59" s="5" t="n">
        <v>46074</v>
      </c>
      <c r="B59" s="0" t="s">
        <v>399</v>
      </c>
      <c r="C59" s="0" t="s">
        <v>417</v>
      </c>
      <c r="D59" s="0" t="s">
        <v>552</v>
      </c>
      <c r="E59" s="0" t="s">
        <v>364</v>
      </c>
      <c r="F59" s="0" t="n">
        <v>3</v>
      </c>
      <c r="G59" s="0" t="s">
        <v>553</v>
      </c>
      <c r="H59" s="0" t="s">
        <v>290</v>
      </c>
      <c r="I59" s="9" t="n">
        <f aca="false">VLOOKUP(B59,M:O,3,0)</f>
        <v>0.604166666666667</v>
      </c>
      <c r="J59" s="10" t="str">
        <f aca="false">VLOOKUP(B59,M:P,4,0)</f>
        <v>ALMENNO SAN BARTOLOMEO VIA F.LLI RONCELLI 2</v>
      </c>
    </row>
    <row r="60" customFormat="false" ht="12" hidden="false" customHeight="true" outlineLevel="0" collapsed="false">
      <c r="A60" s="5" t="n">
        <v>46074</v>
      </c>
      <c r="B60" s="0" t="s">
        <v>503</v>
      </c>
      <c r="C60" s="0" t="s">
        <v>499</v>
      </c>
      <c r="D60" s="0" t="s">
        <v>552</v>
      </c>
      <c r="E60" s="0" t="s">
        <v>364</v>
      </c>
      <c r="F60" s="0" t="n">
        <v>3</v>
      </c>
      <c r="G60" s="0" t="s">
        <v>553</v>
      </c>
      <c r="H60" s="0" t="s">
        <v>290</v>
      </c>
      <c r="I60" s="9" t="n">
        <f aca="false">VLOOKUP(B60,M:O,3,0)</f>
        <v>0.59375</v>
      </c>
      <c r="J60" s="10" t="str">
        <f aca="false">VLOOKUP(B60,M:P,4,0)</f>
        <v>MAPELLO VIA DEL LAZZARINO 1</v>
      </c>
    </row>
    <row r="61" customFormat="false" ht="12" hidden="false" customHeight="true" outlineLevel="0" collapsed="false">
      <c r="A61" s="5" t="n">
        <v>46074</v>
      </c>
      <c r="B61" s="0" t="s">
        <v>571</v>
      </c>
      <c r="C61" s="0" t="s">
        <v>412</v>
      </c>
      <c r="D61" s="0" t="s">
        <v>552</v>
      </c>
      <c r="E61" s="0" t="s">
        <v>364</v>
      </c>
      <c r="F61" s="0" t="n">
        <v>3</v>
      </c>
      <c r="G61" s="0" t="s">
        <v>553</v>
      </c>
      <c r="H61" s="0" t="s">
        <v>290</v>
      </c>
      <c r="I61" s="9" t="n">
        <f aca="false">VLOOKUP(B61,M:O,3,0)</f>
        <v>0.604166666666667</v>
      </c>
      <c r="J61" s="10" t="str">
        <f aca="false">VLOOKUP(B61,M:P,4,0)</f>
        <v>VILLA D'ALME' VIA RONCO BASSO 5</v>
      </c>
    </row>
    <row r="62" customFormat="false" ht="12" hidden="false" customHeight="true" outlineLevel="0" collapsed="false">
      <c r="A62" s="5" t="n">
        <v>46081</v>
      </c>
      <c r="B62" s="0" t="s">
        <v>499</v>
      </c>
      <c r="C62" s="0" t="s">
        <v>407</v>
      </c>
      <c r="D62" s="0" t="s">
        <v>552</v>
      </c>
      <c r="E62" s="0" t="s">
        <v>364</v>
      </c>
      <c r="F62" s="0" t="n">
        <v>4</v>
      </c>
      <c r="G62" s="0" t="s">
        <v>553</v>
      </c>
      <c r="H62" s="0" t="s">
        <v>290</v>
      </c>
      <c r="I62" s="9" t="n">
        <f aca="false">VLOOKUP(B62,M:O,3,0)</f>
        <v>0.729166666666667</v>
      </c>
      <c r="J62" s="10" t="str">
        <f aca="false">VLOOKUP(B62,M:P,4,0)</f>
        <v>PONTE SAN PIETRO ZONA CLINICA VIA XXIV MAGGIO</v>
      </c>
    </row>
    <row r="63" customFormat="false" ht="12" hidden="false" customHeight="true" outlineLevel="0" collapsed="false">
      <c r="A63" s="5" t="n">
        <v>46081</v>
      </c>
      <c r="B63" s="0" t="s">
        <v>391</v>
      </c>
      <c r="C63" s="0" t="s">
        <v>399</v>
      </c>
      <c r="D63" s="0" t="s">
        <v>552</v>
      </c>
      <c r="E63" s="0" t="s">
        <v>364</v>
      </c>
      <c r="F63" s="0" t="n">
        <v>4</v>
      </c>
      <c r="G63" s="0" t="s">
        <v>553</v>
      </c>
      <c r="H63" s="0" t="s">
        <v>290</v>
      </c>
      <c r="I63" s="9" t="n">
        <f aca="false">VLOOKUP(B63,M:O,3,0)</f>
        <v>0.583333333333333</v>
      </c>
      <c r="J63" s="10" t="str">
        <f aca="false">VLOOKUP(B63,M:P,4,0)</f>
        <v>BERBENNO VIA STOPPANI 114</v>
      </c>
    </row>
    <row r="64" customFormat="false" ht="12" hidden="false" customHeight="true" outlineLevel="0" collapsed="false">
      <c r="A64" s="5" t="n">
        <v>46081</v>
      </c>
      <c r="B64" s="0" t="s">
        <v>412</v>
      </c>
      <c r="C64" s="0" t="s">
        <v>575</v>
      </c>
      <c r="D64" s="0" t="s">
        <v>552</v>
      </c>
      <c r="E64" s="0" t="s">
        <v>364</v>
      </c>
      <c r="F64" s="0" t="n">
        <v>4</v>
      </c>
      <c r="G64" s="0" t="s">
        <v>553</v>
      </c>
      <c r="H64" s="0" t="s">
        <v>290</v>
      </c>
      <c r="I64" s="9" t="n">
        <f aca="false">VLOOKUP(B64,M:O,3,0)</f>
        <v>0.625</v>
      </c>
      <c r="J64" s="10" t="str">
        <f aca="false">VLOOKUP(B64,M:P,4,0)</f>
        <v>BONATE SOTTO VIA GARIBALDI 15</v>
      </c>
    </row>
    <row r="65" customFormat="false" ht="12" hidden="false" customHeight="true" outlineLevel="0" collapsed="false">
      <c r="A65" s="5" t="n">
        <v>46081</v>
      </c>
      <c r="B65" s="0" t="s">
        <v>386</v>
      </c>
      <c r="C65" s="0" t="s">
        <v>571</v>
      </c>
      <c r="D65" s="0" t="s">
        <v>552</v>
      </c>
      <c r="E65" s="0" t="s">
        <v>364</v>
      </c>
      <c r="F65" s="0" t="n">
        <v>4</v>
      </c>
      <c r="G65" s="0" t="s">
        <v>553</v>
      </c>
      <c r="H65" s="0" t="s">
        <v>290</v>
      </c>
      <c r="I65" s="9" t="n">
        <f aca="false">VLOOKUP(B65,M:O,3,0)</f>
        <v>0.645833333333333</v>
      </c>
      <c r="J65" s="10" t="str">
        <f aca="false">VLOOKUP(B65,M:P,4,0)</f>
        <v>BREMBATE DI SOPRA VIA DON GIOVANNI SALA SNC</v>
      </c>
    </row>
    <row r="66" customFormat="false" ht="12" hidden="false" customHeight="true" outlineLevel="0" collapsed="false">
      <c r="A66" s="5" t="n">
        <v>46081</v>
      </c>
      <c r="B66" s="0" t="s">
        <v>417</v>
      </c>
      <c r="C66" s="0" t="s">
        <v>503</v>
      </c>
      <c r="D66" s="0" t="s">
        <v>552</v>
      </c>
      <c r="E66" s="0" t="s">
        <v>364</v>
      </c>
      <c r="F66" s="0" t="n">
        <v>4</v>
      </c>
      <c r="G66" s="0" t="s">
        <v>553</v>
      </c>
      <c r="H66" s="0" t="s">
        <v>290</v>
      </c>
      <c r="I66" s="9" t="n">
        <f aca="false">VLOOKUP(B66,M:O,3,0)</f>
        <v>0.583333333333333</v>
      </c>
      <c r="J66" s="10" t="str">
        <f aca="false">VLOOKUP(B66,M:P,4,0)</f>
        <v>CARVICO VIA PEDRAZZI</v>
      </c>
    </row>
    <row r="67" customFormat="false" ht="12" hidden="false" customHeight="true" outlineLevel="0" collapsed="false">
      <c r="A67" s="5" t="n">
        <v>46088</v>
      </c>
      <c r="B67" s="0" t="s">
        <v>407</v>
      </c>
      <c r="C67" s="0" t="s">
        <v>417</v>
      </c>
      <c r="D67" s="0" t="s">
        <v>552</v>
      </c>
      <c r="E67" s="0" t="s">
        <v>364</v>
      </c>
      <c r="F67" s="0" t="n">
        <v>5</v>
      </c>
      <c r="G67" s="0" t="s">
        <v>553</v>
      </c>
      <c r="H67" s="0" t="s">
        <v>290</v>
      </c>
      <c r="I67" s="9" t="n">
        <f aca="false">VLOOKUP(B67,M:O,3,0)</f>
        <v>0.708333333333333</v>
      </c>
      <c r="J67" s="10" t="str">
        <f aca="false">VLOOKUP(B67,M:P,4,0)</f>
        <v>FILAGO VIA ANTONIO LOCATELLI 42</v>
      </c>
    </row>
    <row r="68" customFormat="false" ht="12" hidden="false" customHeight="true" outlineLevel="0" collapsed="false">
      <c r="A68" s="5" t="n">
        <v>46088</v>
      </c>
      <c r="B68" s="0" t="s">
        <v>412</v>
      </c>
      <c r="C68" s="0" t="s">
        <v>391</v>
      </c>
      <c r="D68" s="0" t="s">
        <v>552</v>
      </c>
      <c r="E68" s="0" t="s">
        <v>364</v>
      </c>
      <c r="F68" s="0" t="n">
        <v>5</v>
      </c>
      <c r="G68" s="0" t="s">
        <v>553</v>
      </c>
      <c r="H68" s="0" t="s">
        <v>290</v>
      </c>
      <c r="I68" s="9" t="n">
        <f aca="false">VLOOKUP(B68,M:O,3,0)</f>
        <v>0.625</v>
      </c>
      <c r="J68" s="10" t="str">
        <f aca="false">VLOOKUP(B68,M:P,4,0)</f>
        <v>BONATE SOTTO VIA GARIBALDI 15</v>
      </c>
    </row>
    <row r="69" customFormat="false" ht="12" hidden="false" customHeight="true" outlineLevel="0" collapsed="false">
      <c r="A69" s="5" t="n">
        <v>46088</v>
      </c>
      <c r="B69" s="0" t="s">
        <v>575</v>
      </c>
      <c r="C69" s="0" t="s">
        <v>386</v>
      </c>
      <c r="D69" s="0" t="s">
        <v>552</v>
      </c>
      <c r="E69" s="0" t="s">
        <v>364</v>
      </c>
      <c r="F69" s="0" t="n">
        <v>5</v>
      </c>
      <c r="G69" s="0" t="s">
        <v>553</v>
      </c>
      <c r="H69" s="0" t="s">
        <v>290</v>
      </c>
      <c r="I69" s="9" t="n">
        <f aca="false">VLOOKUP(B69,M:O,3,0)</f>
        <v>0.604166666666667</v>
      </c>
      <c r="J69" s="10" t="str">
        <f aca="false">VLOOKUP(B69,M:P,4,0)</f>
        <v>PALADINA VIA DEGLI ALPINI N.1</v>
      </c>
    </row>
    <row r="70" customFormat="false" ht="12" hidden="false" customHeight="true" outlineLevel="0" collapsed="false">
      <c r="A70" s="5" t="n">
        <v>46088</v>
      </c>
      <c r="B70" s="0" t="s">
        <v>503</v>
      </c>
      <c r="C70" s="0" t="s">
        <v>399</v>
      </c>
      <c r="D70" s="0" t="s">
        <v>552</v>
      </c>
      <c r="E70" s="0" t="s">
        <v>364</v>
      </c>
      <c r="F70" s="0" t="n">
        <v>5</v>
      </c>
      <c r="G70" s="0" t="s">
        <v>553</v>
      </c>
      <c r="H70" s="0" t="s">
        <v>290</v>
      </c>
      <c r="I70" s="9" t="n">
        <f aca="false">VLOOKUP(B70,M:O,3,0)</f>
        <v>0.59375</v>
      </c>
      <c r="J70" s="10" t="str">
        <f aca="false">VLOOKUP(B70,M:P,4,0)</f>
        <v>MAPELLO VIA DEL LAZZARINO 1</v>
      </c>
    </row>
    <row r="71" customFormat="false" ht="12" hidden="false" customHeight="true" outlineLevel="0" collapsed="false">
      <c r="A71" s="5" t="n">
        <v>46088</v>
      </c>
      <c r="B71" s="0" t="s">
        <v>571</v>
      </c>
      <c r="C71" s="0" t="s">
        <v>499</v>
      </c>
      <c r="D71" s="0" t="s">
        <v>552</v>
      </c>
      <c r="E71" s="0" t="s">
        <v>364</v>
      </c>
      <c r="F71" s="0" t="n">
        <v>5</v>
      </c>
      <c r="G71" s="0" t="s">
        <v>553</v>
      </c>
      <c r="H71" s="0" t="s">
        <v>290</v>
      </c>
      <c r="I71" s="9" t="n">
        <f aca="false">VLOOKUP(B71,M:O,3,0)</f>
        <v>0.604166666666667</v>
      </c>
      <c r="J71" s="10" t="str">
        <f aca="false">VLOOKUP(B71,M:P,4,0)</f>
        <v>VILLA D'ALME' VIA RONCO BASSO 5</v>
      </c>
    </row>
    <row r="72" customFormat="false" ht="12" hidden="false" customHeight="true" outlineLevel="0" collapsed="false">
      <c r="A72" s="5" t="n">
        <v>46095</v>
      </c>
      <c r="B72" s="0" t="s">
        <v>499</v>
      </c>
      <c r="C72" s="0" t="s">
        <v>575</v>
      </c>
      <c r="D72" s="0" t="s">
        <v>552</v>
      </c>
      <c r="E72" s="0" t="s">
        <v>364</v>
      </c>
      <c r="F72" s="0" t="n">
        <v>6</v>
      </c>
      <c r="G72" s="0" t="s">
        <v>553</v>
      </c>
      <c r="H72" s="0" t="s">
        <v>290</v>
      </c>
      <c r="I72" s="9" t="n">
        <f aca="false">VLOOKUP(B72,M:O,3,0)</f>
        <v>0.729166666666667</v>
      </c>
      <c r="J72" s="10" t="str">
        <f aca="false">VLOOKUP(B72,M:P,4,0)</f>
        <v>PONTE SAN PIETRO ZONA CLINICA VIA XXIV MAGGIO</v>
      </c>
    </row>
    <row r="73" customFormat="false" ht="12" hidden="false" customHeight="true" outlineLevel="0" collapsed="false">
      <c r="A73" s="5" t="n">
        <v>46095</v>
      </c>
      <c r="B73" s="0" t="s">
        <v>391</v>
      </c>
      <c r="C73" s="0" t="s">
        <v>503</v>
      </c>
      <c r="D73" s="0" t="s">
        <v>552</v>
      </c>
      <c r="E73" s="0" t="s">
        <v>364</v>
      </c>
      <c r="F73" s="0" t="n">
        <v>6</v>
      </c>
      <c r="G73" s="0" t="s">
        <v>553</v>
      </c>
      <c r="H73" s="0" t="s">
        <v>290</v>
      </c>
      <c r="I73" s="9" t="n">
        <f aca="false">VLOOKUP(B73,M:O,3,0)</f>
        <v>0.583333333333333</v>
      </c>
      <c r="J73" s="10" t="str">
        <f aca="false">VLOOKUP(B73,M:P,4,0)</f>
        <v>BERBENNO VIA STOPPANI 114</v>
      </c>
    </row>
    <row r="74" customFormat="false" ht="12" hidden="false" customHeight="true" outlineLevel="0" collapsed="false">
      <c r="A74" s="5" t="n">
        <v>46095</v>
      </c>
      <c r="B74" s="0" t="s">
        <v>386</v>
      </c>
      <c r="C74" s="0" t="s">
        <v>412</v>
      </c>
      <c r="D74" s="0" t="s">
        <v>552</v>
      </c>
      <c r="E74" s="0" t="s">
        <v>364</v>
      </c>
      <c r="F74" s="0" t="n">
        <v>6</v>
      </c>
      <c r="G74" s="0" t="s">
        <v>553</v>
      </c>
      <c r="H74" s="0" t="s">
        <v>290</v>
      </c>
      <c r="I74" s="9" t="n">
        <f aca="false">VLOOKUP(B74,M:O,3,0)</f>
        <v>0.645833333333333</v>
      </c>
      <c r="J74" s="10" t="str">
        <f aca="false">VLOOKUP(B74,M:P,4,0)</f>
        <v>BREMBATE DI SOPRA VIA DON GIOVANNI SALA SNC</v>
      </c>
    </row>
    <row r="75" customFormat="false" ht="12" hidden="false" customHeight="true" outlineLevel="0" collapsed="false">
      <c r="A75" s="5" t="n">
        <v>46095</v>
      </c>
      <c r="B75" s="0" t="s">
        <v>399</v>
      </c>
      <c r="C75" s="0" t="s">
        <v>407</v>
      </c>
      <c r="D75" s="0" t="s">
        <v>552</v>
      </c>
      <c r="E75" s="0" t="s">
        <v>364</v>
      </c>
      <c r="F75" s="0" t="n">
        <v>6</v>
      </c>
      <c r="G75" s="0" t="s">
        <v>553</v>
      </c>
      <c r="H75" s="0" t="s">
        <v>290</v>
      </c>
      <c r="I75" s="9" t="n">
        <f aca="false">VLOOKUP(B75,M:O,3,0)</f>
        <v>0.604166666666667</v>
      </c>
      <c r="J75" s="10" t="str">
        <f aca="false">VLOOKUP(B75,M:P,4,0)</f>
        <v>ALMENNO SAN BARTOLOMEO VIA F.LLI RONCELLI 2</v>
      </c>
    </row>
    <row r="76" customFormat="false" ht="12" hidden="false" customHeight="true" outlineLevel="0" collapsed="false">
      <c r="A76" s="5" t="n">
        <v>46095</v>
      </c>
      <c r="B76" s="0" t="s">
        <v>417</v>
      </c>
      <c r="C76" s="0" t="s">
        <v>571</v>
      </c>
      <c r="D76" s="0" t="s">
        <v>552</v>
      </c>
      <c r="E76" s="0" t="s">
        <v>364</v>
      </c>
      <c r="F76" s="0" t="n">
        <v>6</v>
      </c>
      <c r="G76" s="0" t="s">
        <v>553</v>
      </c>
      <c r="H76" s="0" t="s">
        <v>290</v>
      </c>
      <c r="I76" s="9" t="n">
        <f aca="false">VLOOKUP(B76,M:O,3,0)</f>
        <v>0.583333333333333</v>
      </c>
      <c r="J76" s="10" t="str">
        <f aca="false">VLOOKUP(B76,M:P,4,0)</f>
        <v>CARVICO VIA PEDRAZZI</v>
      </c>
    </row>
    <row r="77" customFormat="false" ht="12" hidden="false" customHeight="true" outlineLevel="0" collapsed="false">
      <c r="A77" s="5" t="n">
        <v>46102</v>
      </c>
      <c r="B77" s="0" t="s">
        <v>407</v>
      </c>
      <c r="C77" s="0" t="s">
        <v>503</v>
      </c>
      <c r="D77" s="0" t="s">
        <v>552</v>
      </c>
      <c r="E77" s="0" t="s">
        <v>364</v>
      </c>
      <c r="F77" s="0" t="n">
        <v>7</v>
      </c>
      <c r="G77" s="0" t="s">
        <v>553</v>
      </c>
      <c r="H77" s="0" t="s">
        <v>290</v>
      </c>
      <c r="I77" s="9" t="n">
        <f aca="false">VLOOKUP(B77,M:O,3,0)</f>
        <v>0.708333333333333</v>
      </c>
      <c r="J77" s="10" t="str">
        <f aca="false">VLOOKUP(B77,M:P,4,0)</f>
        <v>FILAGO VIA ANTONIO LOCATELLI 42</v>
      </c>
    </row>
    <row r="78" customFormat="false" ht="12" hidden="false" customHeight="true" outlineLevel="0" collapsed="false">
      <c r="A78" s="5" t="n">
        <v>46102</v>
      </c>
      <c r="B78" s="0" t="s">
        <v>412</v>
      </c>
      <c r="C78" s="0" t="s">
        <v>499</v>
      </c>
      <c r="D78" s="0" t="s">
        <v>552</v>
      </c>
      <c r="E78" s="0" t="s">
        <v>364</v>
      </c>
      <c r="F78" s="0" t="n">
        <v>7</v>
      </c>
      <c r="G78" s="0" t="s">
        <v>553</v>
      </c>
      <c r="H78" s="0" t="s">
        <v>290</v>
      </c>
      <c r="I78" s="9" t="n">
        <f aca="false">VLOOKUP(B78,M:O,3,0)</f>
        <v>0.625</v>
      </c>
      <c r="J78" s="10" t="str">
        <f aca="false">VLOOKUP(B78,M:P,4,0)</f>
        <v>BONATE SOTTO VIA GARIBALDI 15</v>
      </c>
    </row>
    <row r="79" customFormat="false" ht="12" hidden="false" customHeight="true" outlineLevel="0" collapsed="false">
      <c r="A79" s="5" t="n">
        <v>46102</v>
      </c>
      <c r="B79" s="0" t="s">
        <v>386</v>
      </c>
      <c r="C79" s="0" t="s">
        <v>391</v>
      </c>
      <c r="D79" s="0" t="s">
        <v>552</v>
      </c>
      <c r="E79" s="0" t="s">
        <v>364</v>
      </c>
      <c r="F79" s="0" t="n">
        <v>7</v>
      </c>
      <c r="G79" s="0" t="s">
        <v>553</v>
      </c>
      <c r="H79" s="0" t="s">
        <v>290</v>
      </c>
      <c r="I79" s="9" t="n">
        <f aca="false">VLOOKUP(B79,M:O,3,0)</f>
        <v>0.645833333333333</v>
      </c>
      <c r="J79" s="10" t="str">
        <f aca="false">VLOOKUP(B79,M:P,4,0)</f>
        <v>BREMBATE DI SOPRA VIA DON GIOVANNI SALA SNC</v>
      </c>
    </row>
    <row r="80" customFormat="false" ht="12" hidden="false" customHeight="true" outlineLevel="0" collapsed="false">
      <c r="A80" s="5" t="n">
        <v>46102</v>
      </c>
      <c r="B80" s="0" t="s">
        <v>575</v>
      </c>
      <c r="C80" s="0" t="s">
        <v>417</v>
      </c>
      <c r="D80" s="0" t="s">
        <v>552</v>
      </c>
      <c r="E80" s="0" t="s">
        <v>364</v>
      </c>
      <c r="F80" s="0" t="n">
        <v>7</v>
      </c>
      <c r="G80" s="0" t="s">
        <v>553</v>
      </c>
      <c r="H80" s="0" t="s">
        <v>290</v>
      </c>
      <c r="I80" s="9" t="n">
        <f aca="false">VLOOKUP(B80,M:O,3,0)</f>
        <v>0.604166666666667</v>
      </c>
      <c r="J80" s="10" t="str">
        <f aca="false">VLOOKUP(B80,M:P,4,0)</f>
        <v>PALADINA VIA DEGLI ALPINI N.1</v>
      </c>
    </row>
    <row r="81" customFormat="false" ht="12" hidden="false" customHeight="true" outlineLevel="0" collapsed="false">
      <c r="A81" s="5" t="n">
        <v>46102</v>
      </c>
      <c r="B81" s="0" t="s">
        <v>571</v>
      </c>
      <c r="C81" s="0" t="s">
        <v>399</v>
      </c>
      <c r="D81" s="0" t="s">
        <v>552</v>
      </c>
      <c r="E81" s="0" t="s">
        <v>364</v>
      </c>
      <c r="F81" s="0" t="n">
        <v>7</v>
      </c>
      <c r="G81" s="0" t="s">
        <v>553</v>
      </c>
      <c r="H81" s="0" t="s">
        <v>290</v>
      </c>
      <c r="I81" s="9" t="n">
        <f aca="false">VLOOKUP(B81,M:O,3,0)</f>
        <v>0.604166666666667</v>
      </c>
      <c r="J81" s="10" t="str">
        <f aca="false">VLOOKUP(B81,M:P,4,0)</f>
        <v>VILLA D'ALME' VIA RONCO BASSO 5</v>
      </c>
    </row>
    <row r="82" customFormat="false" ht="12" hidden="false" customHeight="true" outlineLevel="0" collapsed="false">
      <c r="A82" s="5" t="n">
        <v>46109</v>
      </c>
      <c r="B82" s="0" t="s">
        <v>499</v>
      </c>
      <c r="C82" s="0" t="s">
        <v>386</v>
      </c>
      <c r="D82" s="0" t="s">
        <v>552</v>
      </c>
      <c r="E82" s="0" t="s">
        <v>364</v>
      </c>
      <c r="F82" s="0" t="n">
        <v>8</v>
      </c>
      <c r="G82" s="0" t="s">
        <v>553</v>
      </c>
      <c r="H82" s="0" t="s">
        <v>290</v>
      </c>
      <c r="I82" s="9" t="n">
        <f aca="false">VLOOKUP(B82,M:O,3,0)</f>
        <v>0.729166666666667</v>
      </c>
      <c r="J82" s="10" t="str">
        <f aca="false">VLOOKUP(B82,M:P,4,0)</f>
        <v>PONTE SAN PIETRO ZONA CLINICA VIA XXIV MAGGIO</v>
      </c>
    </row>
    <row r="83" customFormat="false" ht="12" hidden="false" customHeight="true" outlineLevel="0" collapsed="false">
      <c r="A83" s="5" t="n">
        <v>46109</v>
      </c>
      <c r="B83" s="0" t="s">
        <v>407</v>
      </c>
      <c r="C83" s="0" t="s">
        <v>391</v>
      </c>
      <c r="D83" s="0" t="s">
        <v>552</v>
      </c>
      <c r="E83" s="0" t="s">
        <v>364</v>
      </c>
      <c r="F83" s="0" t="n">
        <v>8</v>
      </c>
      <c r="G83" s="0" t="s">
        <v>553</v>
      </c>
      <c r="H83" s="0" t="s">
        <v>290</v>
      </c>
      <c r="I83" s="9" t="n">
        <f aca="false">VLOOKUP(B83,M:O,3,0)</f>
        <v>0.708333333333333</v>
      </c>
      <c r="J83" s="10" t="str">
        <f aca="false">VLOOKUP(B83,M:P,4,0)</f>
        <v>FILAGO VIA ANTONIO LOCATELLI 42</v>
      </c>
    </row>
    <row r="84" customFormat="false" ht="12" hidden="false" customHeight="true" outlineLevel="0" collapsed="false">
      <c r="A84" s="5" t="n">
        <v>46109</v>
      </c>
      <c r="B84" s="0" t="s">
        <v>399</v>
      </c>
      <c r="C84" s="0" t="s">
        <v>575</v>
      </c>
      <c r="D84" s="0" t="s">
        <v>552</v>
      </c>
      <c r="E84" s="0" t="s">
        <v>364</v>
      </c>
      <c r="F84" s="0" t="n">
        <v>8</v>
      </c>
      <c r="G84" s="0" t="s">
        <v>553</v>
      </c>
      <c r="H84" s="0" t="s">
        <v>290</v>
      </c>
      <c r="I84" s="9" t="n">
        <f aca="false">VLOOKUP(B84,M:O,3,0)</f>
        <v>0.604166666666667</v>
      </c>
      <c r="J84" s="10" t="str">
        <f aca="false">VLOOKUP(B84,M:P,4,0)</f>
        <v>ALMENNO SAN BARTOLOMEO VIA F.LLI RONCELLI 2</v>
      </c>
    </row>
    <row r="85" customFormat="false" ht="12" hidden="false" customHeight="true" outlineLevel="0" collapsed="false">
      <c r="A85" s="5" t="n">
        <v>46109</v>
      </c>
      <c r="B85" s="0" t="s">
        <v>417</v>
      </c>
      <c r="C85" s="0" t="s">
        <v>412</v>
      </c>
      <c r="D85" s="0" t="s">
        <v>552</v>
      </c>
      <c r="E85" s="0" t="s">
        <v>364</v>
      </c>
      <c r="F85" s="0" t="n">
        <v>8</v>
      </c>
      <c r="G85" s="0" t="s">
        <v>553</v>
      </c>
      <c r="H85" s="0" t="s">
        <v>290</v>
      </c>
      <c r="I85" s="9" t="n">
        <f aca="false">VLOOKUP(B85,M:O,3,0)</f>
        <v>0.583333333333333</v>
      </c>
      <c r="J85" s="10" t="str">
        <f aca="false">VLOOKUP(B85,M:P,4,0)</f>
        <v>CARVICO VIA PEDRAZZI</v>
      </c>
    </row>
    <row r="86" customFormat="false" ht="12" hidden="false" customHeight="true" outlineLevel="0" collapsed="false">
      <c r="A86" s="5" t="n">
        <v>46109</v>
      </c>
      <c r="B86" s="0" t="s">
        <v>503</v>
      </c>
      <c r="C86" s="0" t="s">
        <v>571</v>
      </c>
      <c r="D86" s="0" t="s">
        <v>552</v>
      </c>
      <c r="E86" s="0" t="s">
        <v>364</v>
      </c>
      <c r="F86" s="0" t="n">
        <v>8</v>
      </c>
      <c r="G86" s="0" t="s">
        <v>553</v>
      </c>
      <c r="H86" s="0" t="s">
        <v>290</v>
      </c>
      <c r="I86" s="9" t="n">
        <f aca="false">VLOOKUP(B86,M:O,3,0)</f>
        <v>0.59375</v>
      </c>
      <c r="J86" s="10" t="str">
        <f aca="false">VLOOKUP(B86,M:P,4,0)</f>
        <v>MAPELLO VIA DEL LAZZARINO 1</v>
      </c>
    </row>
    <row r="87" customFormat="false" ht="12" hidden="false" customHeight="true" outlineLevel="0" collapsed="false">
      <c r="A87" s="5" t="n">
        <v>46123</v>
      </c>
      <c r="B87" s="0" t="s">
        <v>391</v>
      </c>
      <c r="C87" s="0" t="s">
        <v>499</v>
      </c>
      <c r="D87" s="0" t="s">
        <v>552</v>
      </c>
      <c r="E87" s="0" t="s">
        <v>364</v>
      </c>
      <c r="F87" s="0" t="n">
        <v>9</v>
      </c>
      <c r="G87" s="0" t="s">
        <v>553</v>
      </c>
      <c r="H87" s="0" t="s">
        <v>290</v>
      </c>
      <c r="I87" s="9" t="n">
        <f aca="false">VLOOKUP(B87,M:O,3,0)</f>
        <v>0.583333333333333</v>
      </c>
      <c r="J87" s="10" t="str">
        <f aca="false">VLOOKUP(B87,M:P,4,0)</f>
        <v>BERBENNO VIA STOPPANI 114</v>
      </c>
    </row>
    <row r="88" customFormat="false" ht="12" hidden="false" customHeight="true" outlineLevel="0" collapsed="false">
      <c r="A88" s="5" t="n">
        <v>46123</v>
      </c>
      <c r="B88" s="0" t="s">
        <v>412</v>
      </c>
      <c r="C88" s="0" t="s">
        <v>399</v>
      </c>
      <c r="D88" s="0" t="s">
        <v>552</v>
      </c>
      <c r="E88" s="0" t="s">
        <v>364</v>
      </c>
      <c r="F88" s="0" t="n">
        <v>9</v>
      </c>
      <c r="G88" s="0" t="s">
        <v>553</v>
      </c>
      <c r="H88" s="0" t="s">
        <v>290</v>
      </c>
      <c r="I88" s="9" t="n">
        <f aca="false">VLOOKUP(B88,M:O,3,0)</f>
        <v>0.625</v>
      </c>
      <c r="J88" s="10" t="str">
        <f aca="false">VLOOKUP(B88,M:P,4,0)</f>
        <v>BONATE SOTTO VIA GARIBALDI 15</v>
      </c>
    </row>
    <row r="89" customFormat="false" ht="12" hidden="false" customHeight="true" outlineLevel="0" collapsed="false">
      <c r="A89" s="5" t="n">
        <v>46123</v>
      </c>
      <c r="B89" s="0" t="s">
        <v>386</v>
      </c>
      <c r="C89" s="0" t="s">
        <v>417</v>
      </c>
      <c r="D89" s="0" t="s">
        <v>552</v>
      </c>
      <c r="E89" s="0" t="s">
        <v>364</v>
      </c>
      <c r="F89" s="0" t="n">
        <v>9</v>
      </c>
      <c r="G89" s="0" t="s">
        <v>553</v>
      </c>
      <c r="H89" s="0" t="s">
        <v>290</v>
      </c>
      <c r="I89" s="9" t="n">
        <f aca="false">VLOOKUP(B89,M:O,3,0)</f>
        <v>0.645833333333333</v>
      </c>
      <c r="J89" s="10" t="str">
        <f aca="false">VLOOKUP(B89,M:P,4,0)</f>
        <v>BREMBATE DI SOPRA VIA DON GIOVANNI SALA SNC</v>
      </c>
    </row>
    <row r="90" customFormat="false" ht="12" hidden="false" customHeight="true" outlineLevel="0" collapsed="false">
      <c r="A90" s="5" t="n">
        <v>46123</v>
      </c>
      <c r="B90" s="0" t="s">
        <v>575</v>
      </c>
      <c r="C90" s="0" t="s">
        <v>503</v>
      </c>
      <c r="D90" s="0" t="s">
        <v>552</v>
      </c>
      <c r="E90" s="0" t="s">
        <v>364</v>
      </c>
      <c r="F90" s="0" t="n">
        <v>9</v>
      </c>
      <c r="G90" s="0" t="s">
        <v>553</v>
      </c>
      <c r="H90" s="0" t="s">
        <v>290</v>
      </c>
      <c r="I90" s="9" t="n">
        <f aca="false">VLOOKUP(B90,M:O,3,0)</f>
        <v>0.604166666666667</v>
      </c>
      <c r="J90" s="10" t="str">
        <f aca="false">VLOOKUP(B90,M:P,4,0)</f>
        <v>PALADINA VIA DEGLI ALPINI N.1</v>
      </c>
    </row>
    <row r="91" customFormat="false" ht="12" hidden="false" customHeight="true" outlineLevel="0" collapsed="false">
      <c r="A91" s="5" t="n">
        <v>46123</v>
      </c>
      <c r="B91" s="0" t="s">
        <v>571</v>
      </c>
      <c r="C91" s="0" t="s">
        <v>407</v>
      </c>
      <c r="D91" s="0" t="s">
        <v>552</v>
      </c>
      <c r="E91" s="0" t="s">
        <v>364</v>
      </c>
      <c r="F91" s="0" t="n">
        <v>9</v>
      </c>
      <c r="G91" s="0" t="s">
        <v>553</v>
      </c>
      <c r="H91" s="0" t="s">
        <v>290</v>
      </c>
      <c r="I91" s="9" t="n">
        <f aca="false">VLOOKUP(B91,M:O,3,0)</f>
        <v>0.604166666666667</v>
      </c>
      <c r="J91" s="10" t="str">
        <f aca="false">VLOOKUP(B91,M:P,4,0)</f>
        <v>VILLA D'ALME' VIA RONCO BASSO 5</v>
      </c>
    </row>
    <row r="92" customFormat="false" ht="12" hidden="false" customHeight="true" outlineLevel="0" collapsed="false">
      <c r="A92" s="5" t="n">
        <v>46060</v>
      </c>
      <c r="B92" s="0" t="s">
        <v>577</v>
      </c>
      <c r="C92" s="0" t="s">
        <v>590</v>
      </c>
      <c r="D92" s="0" t="s">
        <v>552</v>
      </c>
      <c r="E92" s="0" t="s">
        <v>578</v>
      </c>
      <c r="F92" s="0" t="n">
        <v>1</v>
      </c>
      <c r="G92" s="0" t="s">
        <v>553</v>
      </c>
      <c r="H92" s="0" t="s">
        <v>315</v>
      </c>
      <c r="I92" s="9" t="str">
        <f aca="false">VLOOKUP(B92,M:O,3,0)</f>
        <v>14:15</v>
      </c>
      <c r="J92" s="10" t="str">
        <f aca="false">VLOOKUP(B92,M:P,4,0)</f>
        <v>PONTIROLO NUOVO VIA ARMANDO DIAZ 22</v>
      </c>
    </row>
    <row r="93" customFormat="false" ht="12" hidden="false" customHeight="true" outlineLevel="0" collapsed="false">
      <c r="A93" s="5" t="n">
        <v>46060</v>
      </c>
      <c r="B93" s="0" t="s">
        <v>580</v>
      </c>
      <c r="C93" s="0" t="s">
        <v>588</v>
      </c>
      <c r="D93" s="0" t="s">
        <v>552</v>
      </c>
      <c r="E93" s="0" t="s">
        <v>578</v>
      </c>
      <c r="F93" s="0" t="n">
        <v>1</v>
      </c>
      <c r="G93" s="0" t="s">
        <v>553</v>
      </c>
      <c r="H93" s="0" t="s">
        <v>315</v>
      </c>
      <c r="I93" s="9" t="str">
        <f aca="false">VLOOKUP(B93,M:O,3,0)</f>
        <v>15:00</v>
      </c>
      <c r="J93" s="10" t="str">
        <f aca="false">VLOOKUP(B93,M:P,4,0)</f>
        <v>AZZANO SAN PAOLO VIA STEZZANO 33</v>
      </c>
    </row>
    <row r="94" customFormat="false" ht="12" hidden="false" customHeight="true" outlineLevel="0" collapsed="false">
      <c r="A94" s="5" t="n">
        <v>46060</v>
      </c>
      <c r="B94" s="0" t="s">
        <v>582</v>
      </c>
      <c r="C94" s="0" t="s">
        <v>586</v>
      </c>
      <c r="D94" s="0" t="s">
        <v>552</v>
      </c>
      <c r="E94" s="0" t="s">
        <v>578</v>
      </c>
      <c r="F94" s="0" t="n">
        <v>1</v>
      </c>
      <c r="G94" s="0" t="s">
        <v>553</v>
      </c>
      <c r="H94" s="0" t="s">
        <v>315</v>
      </c>
      <c r="I94" s="9" t="str">
        <f aca="false">VLOOKUP(B94,M:O,3,0)</f>
        <v>16:00</v>
      </c>
      <c r="J94" s="10" t="str">
        <f aca="false">VLOOKUP(B94,M:P,4,0)</f>
        <v>COLOGNO AL SERIO VIA DELLE GALOSE SNC</v>
      </c>
    </row>
    <row r="95" customFormat="false" ht="12" hidden="false" customHeight="true" outlineLevel="0" collapsed="false">
      <c r="A95" s="5" t="n">
        <v>46061</v>
      </c>
      <c r="B95" s="0" t="s">
        <v>584</v>
      </c>
      <c r="C95" s="0" t="s">
        <v>592</v>
      </c>
      <c r="D95" s="0" t="s">
        <v>552</v>
      </c>
      <c r="E95" s="0" t="s">
        <v>578</v>
      </c>
      <c r="F95" s="0" t="n">
        <v>1</v>
      </c>
      <c r="G95" s="0" t="s">
        <v>553</v>
      </c>
      <c r="H95" s="0" t="s">
        <v>315</v>
      </c>
      <c r="I95" s="9" t="n">
        <f aca="false">VLOOKUP(B95,M:O,3,0)</f>
        <v>0.447916666666667</v>
      </c>
      <c r="J95" s="10" t="str">
        <f aca="false">VLOOKUP(B95,M:P,4,0)</f>
        <v>FARA OLIVANA CON SOLA VIA VITTORIO EMANUELE SNC</v>
      </c>
    </row>
    <row r="96" customFormat="false" ht="12" hidden="false" customHeight="true" outlineLevel="0" collapsed="false">
      <c r="A96" s="5" t="n">
        <v>46067</v>
      </c>
      <c r="B96" s="0" t="s">
        <v>586</v>
      </c>
      <c r="C96" s="0" t="s">
        <v>577</v>
      </c>
      <c r="D96" s="0" t="s">
        <v>552</v>
      </c>
      <c r="E96" s="0" t="s">
        <v>578</v>
      </c>
      <c r="F96" s="0" t="n">
        <v>2</v>
      </c>
      <c r="G96" s="0" t="s">
        <v>553</v>
      </c>
      <c r="H96" s="0" t="s">
        <v>315</v>
      </c>
      <c r="I96" s="9" t="str">
        <f aca="false">VLOOKUP(B96,M:O,3,0)</f>
        <v>14:00</v>
      </c>
      <c r="J96" s="10" t="str">
        <f aca="false">VLOOKUP(B96,M:P,4,0)</f>
        <v>GORLE VIA ROMA 2/A</v>
      </c>
    </row>
    <row r="97" customFormat="false" ht="12" hidden="false" customHeight="true" outlineLevel="0" collapsed="false">
      <c r="A97" s="5" t="n">
        <v>46067</v>
      </c>
      <c r="B97" s="0" t="s">
        <v>588</v>
      </c>
      <c r="C97" s="0" t="s">
        <v>594</v>
      </c>
      <c r="D97" s="0" t="s">
        <v>552</v>
      </c>
      <c r="E97" s="0" t="s">
        <v>578</v>
      </c>
      <c r="F97" s="0" t="n">
        <v>2</v>
      </c>
      <c r="G97" s="0" t="s">
        <v>553</v>
      </c>
      <c r="H97" s="0" t="s">
        <v>315</v>
      </c>
      <c r="I97" s="9" t="str">
        <f aca="false">VLOOKUP(B97,M:O,3,0)</f>
        <v>14:30</v>
      </c>
      <c r="J97" s="10" t="str">
        <f aca="false">VLOOKUP(B97,M:P,4,0)</f>
        <v>BERGAMO Q.RE COLOGNOLA VIA S.SISTO 9</v>
      </c>
    </row>
    <row r="98" customFormat="false" ht="12" hidden="false" customHeight="true" outlineLevel="0" collapsed="false">
      <c r="A98" s="5" t="n">
        <v>46067</v>
      </c>
      <c r="B98" s="0" t="s">
        <v>590</v>
      </c>
      <c r="C98" s="0" t="s">
        <v>580</v>
      </c>
      <c r="D98" s="0" t="s">
        <v>552</v>
      </c>
      <c r="E98" s="0" t="s">
        <v>578</v>
      </c>
      <c r="F98" s="0" t="n">
        <v>2</v>
      </c>
      <c r="G98" s="0" t="s">
        <v>553</v>
      </c>
      <c r="H98" s="0" t="s">
        <v>315</v>
      </c>
      <c r="I98" s="9" t="str">
        <f aca="false">VLOOKUP(B98,M:O,3,0)</f>
        <v>14:30</v>
      </c>
      <c r="J98" s="10" t="str">
        <f aca="false">VLOOKUP(B98,M:P,4,0)</f>
        <v>CORTENUOVA VIA GAETANO DONIZETTI</v>
      </c>
    </row>
    <row r="99" customFormat="false" ht="12" hidden="false" customHeight="true" outlineLevel="0" collapsed="false">
      <c r="A99" s="5" t="n">
        <v>46067</v>
      </c>
      <c r="B99" s="0" t="s">
        <v>592</v>
      </c>
      <c r="C99" s="0" t="s">
        <v>582</v>
      </c>
      <c r="D99" s="0" t="s">
        <v>552</v>
      </c>
      <c r="E99" s="0" t="s">
        <v>578</v>
      </c>
      <c r="F99" s="0" t="n">
        <v>2</v>
      </c>
      <c r="G99" s="0" t="s">
        <v>553</v>
      </c>
      <c r="H99" s="0" t="s">
        <v>315</v>
      </c>
      <c r="I99" s="9" t="str">
        <f aca="false">VLOOKUP(B99,M:O,3,0)</f>
        <v>15:30</v>
      </c>
      <c r="J99" s="10" t="str">
        <f aca="false">VLOOKUP(B99,M:P,4,0)</f>
        <v>URGNANO VIA ROMA 72</v>
      </c>
    </row>
    <row r="100" customFormat="false" ht="12" hidden="false" customHeight="true" outlineLevel="0" collapsed="false">
      <c r="A100" s="5" t="n">
        <v>46074</v>
      </c>
      <c r="B100" s="0" t="s">
        <v>577</v>
      </c>
      <c r="C100" s="0" t="s">
        <v>592</v>
      </c>
      <c r="D100" s="0" t="s">
        <v>552</v>
      </c>
      <c r="E100" s="0" t="s">
        <v>578</v>
      </c>
      <c r="F100" s="0" t="n">
        <v>3</v>
      </c>
      <c r="G100" s="0" t="s">
        <v>553</v>
      </c>
      <c r="H100" s="0" t="s">
        <v>315</v>
      </c>
      <c r="I100" s="9" t="str">
        <f aca="false">VLOOKUP(B100,M:O,3,0)</f>
        <v>14:15</v>
      </c>
      <c r="J100" s="10" t="str">
        <f aca="false">VLOOKUP(B100,M:P,4,0)</f>
        <v>PONTIROLO NUOVO VIA ARMANDO DIAZ 22</v>
      </c>
    </row>
    <row r="101" customFormat="false" ht="12" hidden="false" customHeight="true" outlineLevel="0" collapsed="false">
      <c r="A101" s="5" t="n">
        <v>46074</v>
      </c>
      <c r="B101" s="0" t="s">
        <v>594</v>
      </c>
      <c r="C101" s="0" t="s">
        <v>580</v>
      </c>
      <c r="D101" s="0" t="s">
        <v>552</v>
      </c>
      <c r="E101" s="0" t="s">
        <v>578</v>
      </c>
      <c r="F101" s="0" t="n">
        <v>3</v>
      </c>
      <c r="G101" s="0" t="s">
        <v>553</v>
      </c>
      <c r="H101" s="0" t="s">
        <v>315</v>
      </c>
      <c r="I101" s="9" t="str">
        <f aca="false">VLOOKUP(B101,M:O,3,0)</f>
        <v>14:00</v>
      </c>
      <c r="J101" s="10" t="str">
        <f aca="false">VLOOKUP(B101,M:P,4,0)</f>
        <v>SERIATE VIA DECO' E CANETTA 66</v>
      </c>
    </row>
    <row r="102" customFormat="false" ht="12" hidden="false" customHeight="true" outlineLevel="0" collapsed="false">
      <c r="A102" s="5" t="n">
        <v>46074</v>
      </c>
      <c r="B102" s="0" t="s">
        <v>586</v>
      </c>
      <c r="C102" s="0" t="s">
        <v>590</v>
      </c>
      <c r="D102" s="0" t="s">
        <v>552</v>
      </c>
      <c r="E102" s="0" t="s">
        <v>578</v>
      </c>
      <c r="F102" s="0" t="n">
        <v>3</v>
      </c>
      <c r="G102" s="0" t="s">
        <v>553</v>
      </c>
      <c r="H102" s="0" t="s">
        <v>315</v>
      </c>
      <c r="I102" s="9" t="str">
        <f aca="false">VLOOKUP(B102,M:O,3,0)</f>
        <v>14:00</v>
      </c>
      <c r="J102" s="10" t="str">
        <f aca="false">VLOOKUP(B102,M:P,4,0)</f>
        <v>GORLE VIA ROMA 2/A</v>
      </c>
    </row>
    <row r="103" customFormat="false" ht="12" hidden="false" customHeight="true" outlineLevel="0" collapsed="false">
      <c r="A103" s="5" t="n">
        <v>46075</v>
      </c>
      <c r="B103" s="0" t="s">
        <v>584</v>
      </c>
      <c r="C103" s="0" t="s">
        <v>588</v>
      </c>
      <c r="D103" s="0" t="s">
        <v>552</v>
      </c>
      <c r="E103" s="0" t="s">
        <v>578</v>
      </c>
      <c r="F103" s="0" t="n">
        <v>3</v>
      </c>
      <c r="G103" s="0" t="s">
        <v>553</v>
      </c>
      <c r="H103" s="0" t="s">
        <v>315</v>
      </c>
      <c r="I103" s="9" t="n">
        <f aca="false">VLOOKUP(B103,M:O,3,0)</f>
        <v>0.447916666666667</v>
      </c>
      <c r="J103" s="10" t="str">
        <f aca="false">VLOOKUP(B103,M:P,4,0)</f>
        <v>FARA OLIVANA CON SOLA VIA VITTORIO EMANUELE SNC</v>
      </c>
    </row>
    <row r="104" customFormat="false" ht="12" hidden="false" customHeight="true" outlineLevel="0" collapsed="false">
      <c r="A104" s="5" t="n">
        <v>46081</v>
      </c>
      <c r="B104" s="0" t="s">
        <v>580</v>
      </c>
      <c r="C104" s="0" t="s">
        <v>584</v>
      </c>
      <c r="D104" s="0" t="s">
        <v>552</v>
      </c>
      <c r="E104" s="0" t="s">
        <v>578</v>
      </c>
      <c r="F104" s="0" t="n">
        <v>4</v>
      </c>
      <c r="G104" s="0" t="s">
        <v>553</v>
      </c>
      <c r="H104" s="0" t="s">
        <v>315</v>
      </c>
      <c r="I104" s="9" t="str">
        <f aca="false">VLOOKUP(B104,M:O,3,0)</f>
        <v>15:00</v>
      </c>
      <c r="J104" s="10" t="str">
        <f aca="false">VLOOKUP(B104,M:P,4,0)</f>
        <v>AZZANO SAN PAOLO VIA STEZZANO 33</v>
      </c>
    </row>
    <row r="105" customFormat="false" ht="12" hidden="false" customHeight="true" outlineLevel="0" collapsed="false">
      <c r="A105" s="5" t="n">
        <v>46081</v>
      </c>
      <c r="B105" s="0" t="s">
        <v>588</v>
      </c>
      <c r="C105" s="0" t="s">
        <v>582</v>
      </c>
      <c r="D105" s="0" t="s">
        <v>552</v>
      </c>
      <c r="E105" s="0" t="s">
        <v>578</v>
      </c>
      <c r="F105" s="0" t="n">
        <v>4</v>
      </c>
      <c r="G105" s="0" t="s">
        <v>553</v>
      </c>
      <c r="H105" s="0" t="s">
        <v>315</v>
      </c>
      <c r="I105" s="9" t="str">
        <f aca="false">VLOOKUP(B105,M:O,3,0)</f>
        <v>14:30</v>
      </c>
      <c r="J105" s="10" t="str">
        <f aca="false">VLOOKUP(B105,M:P,4,0)</f>
        <v>BERGAMO Q.RE COLOGNOLA VIA S.SISTO 9</v>
      </c>
    </row>
    <row r="106" customFormat="false" ht="12" hidden="false" customHeight="true" outlineLevel="0" collapsed="false">
      <c r="A106" s="5" t="n">
        <v>46081</v>
      </c>
      <c r="B106" s="0" t="s">
        <v>590</v>
      </c>
      <c r="C106" s="0" t="s">
        <v>594</v>
      </c>
      <c r="D106" s="0" t="s">
        <v>552</v>
      </c>
      <c r="E106" s="0" t="s">
        <v>578</v>
      </c>
      <c r="F106" s="0" t="n">
        <v>4</v>
      </c>
      <c r="G106" s="0" t="s">
        <v>553</v>
      </c>
      <c r="H106" s="0" t="s">
        <v>315</v>
      </c>
      <c r="I106" s="9" t="str">
        <f aca="false">VLOOKUP(B106,M:O,3,0)</f>
        <v>14:30</v>
      </c>
      <c r="J106" s="10" t="str">
        <f aca="false">VLOOKUP(B106,M:P,4,0)</f>
        <v>CORTENUOVA VIA GAETANO DONIZETTI</v>
      </c>
    </row>
    <row r="107" customFormat="false" ht="12" hidden="false" customHeight="true" outlineLevel="0" collapsed="false">
      <c r="A107" s="5" t="n">
        <v>46081</v>
      </c>
      <c r="B107" s="0" t="s">
        <v>592</v>
      </c>
      <c r="C107" s="0" t="s">
        <v>586</v>
      </c>
      <c r="D107" s="0" t="s">
        <v>552</v>
      </c>
      <c r="E107" s="0" t="s">
        <v>578</v>
      </c>
      <c r="F107" s="0" t="n">
        <v>4</v>
      </c>
      <c r="G107" s="0" t="s">
        <v>553</v>
      </c>
      <c r="H107" s="0" t="s">
        <v>315</v>
      </c>
      <c r="I107" s="9" t="str">
        <f aca="false">VLOOKUP(B107,M:O,3,0)</f>
        <v>15:30</v>
      </c>
      <c r="J107" s="10" t="str">
        <f aca="false">VLOOKUP(B107,M:P,4,0)</f>
        <v>URGNANO VIA ROMA 72</v>
      </c>
    </row>
    <row r="108" customFormat="false" ht="12" hidden="false" customHeight="true" outlineLevel="0" collapsed="false">
      <c r="A108" s="5" t="n">
        <v>46088</v>
      </c>
      <c r="B108" s="0" t="s">
        <v>577</v>
      </c>
      <c r="C108" s="0" t="s">
        <v>588</v>
      </c>
      <c r="D108" s="0" t="s">
        <v>552</v>
      </c>
      <c r="E108" s="0" t="s">
        <v>578</v>
      </c>
      <c r="F108" s="0" t="n">
        <v>5</v>
      </c>
      <c r="G108" s="0" t="s">
        <v>553</v>
      </c>
      <c r="H108" s="0" t="s">
        <v>315</v>
      </c>
      <c r="I108" s="9" t="str">
        <f aca="false">VLOOKUP(B108,M:O,3,0)</f>
        <v>14:15</v>
      </c>
      <c r="J108" s="10" t="str">
        <f aca="false">VLOOKUP(B108,M:P,4,0)</f>
        <v>PONTIROLO NUOVO VIA ARMANDO DIAZ 22</v>
      </c>
    </row>
    <row r="109" customFormat="false" ht="12" hidden="false" customHeight="true" outlineLevel="0" collapsed="false">
      <c r="A109" s="5" t="n">
        <v>46088</v>
      </c>
      <c r="B109" s="0" t="s">
        <v>582</v>
      </c>
      <c r="C109" s="0" t="s">
        <v>580</v>
      </c>
      <c r="D109" s="0" t="s">
        <v>552</v>
      </c>
      <c r="E109" s="0" t="s">
        <v>578</v>
      </c>
      <c r="F109" s="0" t="n">
        <v>5</v>
      </c>
      <c r="G109" s="0" t="s">
        <v>553</v>
      </c>
      <c r="H109" s="0" t="s">
        <v>315</v>
      </c>
      <c r="I109" s="9" t="str">
        <f aca="false">VLOOKUP(B109,M:O,3,0)</f>
        <v>16:00</v>
      </c>
      <c r="J109" s="10" t="str">
        <f aca="false">VLOOKUP(B109,M:P,4,0)</f>
        <v>COLOGNO AL SERIO VIA DELLE GALOSE SNC</v>
      </c>
    </row>
    <row r="110" customFormat="false" ht="12" hidden="false" customHeight="true" outlineLevel="0" collapsed="false">
      <c r="A110" s="5" t="n">
        <v>46089</v>
      </c>
      <c r="B110" s="0" t="s">
        <v>584</v>
      </c>
      <c r="C110" s="0" t="s">
        <v>594</v>
      </c>
      <c r="D110" s="0" t="s">
        <v>552</v>
      </c>
      <c r="E110" s="0" t="s">
        <v>578</v>
      </c>
      <c r="F110" s="0" t="n">
        <v>5</v>
      </c>
      <c r="G110" s="0" t="s">
        <v>553</v>
      </c>
      <c r="H110" s="0" t="s">
        <v>315</v>
      </c>
      <c r="I110" s="9" t="n">
        <f aca="false">VLOOKUP(B110,M:O,3,0)</f>
        <v>0.447916666666667</v>
      </c>
      <c r="J110" s="10" t="str">
        <f aca="false">VLOOKUP(B110,M:P,4,0)</f>
        <v>FARA OLIVANA CON SOLA VIA VITTORIO EMANUELE SNC</v>
      </c>
    </row>
    <row r="111" customFormat="false" ht="12" hidden="false" customHeight="true" outlineLevel="0" collapsed="false">
      <c r="A111" s="5" t="n">
        <v>46088</v>
      </c>
      <c r="B111" s="0" t="s">
        <v>592</v>
      </c>
      <c r="C111" s="0" t="s">
        <v>590</v>
      </c>
      <c r="D111" s="0" t="s">
        <v>552</v>
      </c>
      <c r="E111" s="0" t="s">
        <v>578</v>
      </c>
      <c r="F111" s="0" t="n">
        <v>5</v>
      </c>
      <c r="G111" s="0" t="s">
        <v>553</v>
      </c>
      <c r="H111" s="0" t="s">
        <v>315</v>
      </c>
      <c r="I111" s="9" t="str">
        <f aca="false">VLOOKUP(B111,M:O,3,0)</f>
        <v>15:30</v>
      </c>
      <c r="J111" s="10" t="str">
        <f aca="false">VLOOKUP(B111,M:P,4,0)</f>
        <v>URGNANO VIA ROMA 72</v>
      </c>
    </row>
    <row r="112" customFormat="false" ht="12" hidden="false" customHeight="true" outlineLevel="0" collapsed="false">
      <c r="A112" s="5" t="n">
        <v>46095</v>
      </c>
      <c r="B112" s="0" t="s">
        <v>594</v>
      </c>
      <c r="C112" s="0" t="s">
        <v>582</v>
      </c>
      <c r="D112" s="0" t="s">
        <v>552</v>
      </c>
      <c r="E112" s="0" t="s">
        <v>578</v>
      </c>
      <c r="F112" s="0" t="n">
        <v>6</v>
      </c>
      <c r="G112" s="0" t="s">
        <v>553</v>
      </c>
      <c r="H112" s="0" t="s">
        <v>315</v>
      </c>
      <c r="I112" s="9" t="str">
        <f aca="false">VLOOKUP(B112,M:O,3,0)</f>
        <v>14:00</v>
      </c>
      <c r="J112" s="10" t="str">
        <f aca="false">VLOOKUP(B112,M:P,4,0)</f>
        <v>SERIATE VIA DECO' E CANETTA 66</v>
      </c>
    </row>
    <row r="113" customFormat="false" ht="12" hidden="false" customHeight="true" outlineLevel="0" collapsed="false">
      <c r="A113" s="5" t="n">
        <v>46095</v>
      </c>
      <c r="B113" s="0" t="s">
        <v>580</v>
      </c>
      <c r="C113" s="0" t="s">
        <v>577</v>
      </c>
      <c r="D113" s="0" t="s">
        <v>552</v>
      </c>
      <c r="E113" s="0" t="s">
        <v>578</v>
      </c>
      <c r="F113" s="0" t="n">
        <v>6</v>
      </c>
      <c r="G113" s="0" t="s">
        <v>553</v>
      </c>
      <c r="H113" s="0" t="s">
        <v>315</v>
      </c>
      <c r="I113" s="9" t="str">
        <f aca="false">VLOOKUP(B113,M:O,3,0)</f>
        <v>15:00</v>
      </c>
      <c r="J113" s="10" t="str">
        <f aca="false">VLOOKUP(B113,M:P,4,0)</f>
        <v>AZZANO SAN PAOLO VIA STEZZANO 33</v>
      </c>
    </row>
    <row r="114" customFormat="false" ht="12" hidden="false" customHeight="true" outlineLevel="0" collapsed="false">
      <c r="A114" s="5" t="n">
        <v>46095</v>
      </c>
      <c r="B114" s="0" t="s">
        <v>588</v>
      </c>
      <c r="C114" s="0" t="s">
        <v>586</v>
      </c>
      <c r="D114" s="0" t="s">
        <v>552</v>
      </c>
      <c r="E114" s="0" t="s">
        <v>578</v>
      </c>
      <c r="F114" s="0" t="n">
        <v>6</v>
      </c>
      <c r="G114" s="0" t="s">
        <v>553</v>
      </c>
      <c r="H114" s="0" t="s">
        <v>315</v>
      </c>
      <c r="I114" s="9" t="str">
        <f aca="false">VLOOKUP(B114,M:O,3,0)</f>
        <v>14:30</v>
      </c>
      <c r="J114" s="10" t="str">
        <f aca="false">VLOOKUP(B114,M:P,4,0)</f>
        <v>BERGAMO Q.RE COLOGNOLA VIA S.SISTO 9</v>
      </c>
    </row>
    <row r="115" customFormat="false" ht="12" hidden="false" customHeight="true" outlineLevel="0" collapsed="false">
      <c r="A115" s="5" t="n">
        <v>46095</v>
      </c>
      <c r="B115" s="0" t="s">
        <v>590</v>
      </c>
      <c r="C115" s="0" t="s">
        <v>584</v>
      </c>
      <c r="D115" s="0" t="s">
        <v>552</v>
      </c>
      <c r="E115" s="0" t="s">
        <v>578</v>
      </c>
      <c r="F115" s="0" t="n">
        <v>6</v>
      </c>
      <c r="G115" s="0" t="s">
        <v>553</v>
      </c>
      <c r="H115" s="0" t="s">
        <v>315</v>
      </c>
      <c r="I115" s="9" t="str">
        <f aca="false">VLOOKUP(B115,M:O,3,0)</f>
        <v>14:30</v>
      </c>
      <c r="J115" s="10" t="str">
        <f aca="false">VLOOKUP(B115,M:P,4,0)</f>
        <v>CORTENUOVA VIA GAETANO DONIZETTI</v>
      </c>
    </row>
    <row r="116" customFormat="false" ht="12" hidden="false" customHeight="true" outlineLevel="0" collapsed="false">
      <c r="A116" s="5" t="n">
        <v>46102</v>
      </c>
      <c r="B116" s="0" t="s">
        <v>577</v>
      </c>
      <c r="C116" s="0" t="s">
        <v>594</v>
      </c>
      <c r="D116" s="0" t="s">
        <v>552</v>
      </c>
      <c r="E116" s="0" t="s">
        <v>578</v>
      </c>
      <c r="F116" s="0" t="n">
        <v>7</v>
      </c>
      <c r="G116" s="0" t="s">
        <v>553</v>
      </c>
      <c r="H116" s="0" t="s">
        <v>315</v>
      </c>
      <c r="I116" s="9" t="str">
        <f aca="false">VLOOKUP(B116,M:O,3,0)</f>
        <v>14:15</v>
      </c>
      <c r="J116" s="10" t="str">
        <f aca="false">VLOOKUP(B116,M:P,4,0)</f>
        <v>PONTIROLO NUOVO VIA ARMANDO DIAZ 22</v>
      </c>
    </row>
    <row r="117" customFormat="false" ht="12" hidden="false" customHeight="true" outlineLevel="0" collapsed="false">
      <c r="A117" s="5" t="n">
        <v>46102</v>
      </c>
      <c r="B117" s="0" t="s">
        <v>586</v>
      </c>
      <c r="C117" s="0" t="s">
        <v>580</v>
      </c>
      <c r="D117" s="0" t="s">
        <v>552</v>
      </c>
      <c r="E117" s="0" t="s">
        <v>578</v>
      </c>
      <c r="F117" s="0" t="n">
        <v>7</v>
      </c>
      <c r="G117" s="0" t="s">
        <v>553</v>
      </c>
      <c r="H117" s="0" t="s">
        <v>315</v>
      </c>
      <c r="I117" s="9" t="str">
        <f aca="false">VLOOKUP(B117,M:O,3,0)</f>
        <v>14:00</v>
      </c>
      <c r="J117" s="10" t="str">
        <f aca="false">VLOOKUP(B117,M:P,4,0)</f>
        <v>GORLE VIA ROMA 2/A</v>
      </c>
    </row>
    <row r="118" customFormat="false" ht="12" hidden="false" customHeight="true" outlineLevel="0" collapsed="false">
      <c r="A118" s="5" t="n">
        <v>46102</v>
      </c>
      <c r="B118" s="0" t="s">
        <v>582</v>
      </c>
      <c r="C118" s="0" t="s">
        <v>584</v>
      </c>
      <c r="D118" s="0" t="s">
        <v>552</v>
      </c>
      <c r="E118" s="0" t="s">
        <v>578</v>
      </c>
      <c r="F118" s="0" t="n">
        <v>7</v>
      </c>
      <c r="G118" s="0" t="s">
        <v>553</v>
      </c>
      <c r="H118" s="0" t="s">
        <v>315</v>
      </c>
      <c r="I118" s="9" t="str">
        <f aca="false">VLOOKUP(B118,M:O,3,0)</f>
        <v>16:00</v>
      </c>
      <c r="J118" s="10" t="str">
        <f aca="false">VLOOKUP(B118,M:P,4,0)</f>
        <v>COLOGNO AL SERIO VIA DELLE GALOSE SNC</v>
      </c>
    </row>
    <row r="119" customFormat="false" ht="12" hidden="false" customHeight="true" outlineLevel="0" collapsed="false">
      <c r="A119" s="5" t="n">
        <v>46102</v>
      </c>
      <c r="B119" s="0" t="s">
        <v>592</v>
      </c>
      <c r="C119" s="0" t="s">
        <v>588</v>
      </c>
      <c r="D119" s="0" t="s">
        <v>552</v>
      </c>
      <c r="E119" s="0" t="s">
        <v>578</v>
      </c>
      <c r="F119" s="0" t="n">
        <v>7</v>
      </c>
      <c r="G119" s="0" t="s">
        <v>553</v>
      </c>
      <c r="H119" s="0" t="s">
        <v>315</v>
      </c>
      <c r="I119" s="9" t="str">
        <f aca="false">VLOOKUP(B119,M:O,3,0)</f>
        <v>15:30</v>
      </c>
      <c r="J119" s="10" t="str">
        <f aca="false">VLOOKUP(B119,M:P,4,0)</f>
        <v>URGNANO VIA ROMA 72</v>
      </c>
    </row>
    <row r="120" customFormat="false" ht="12" hidden="false" customHeight="true" outlineLevel="0" collapsed="false">
      <c r="A120" s="5" t="n">
        <v>46109</v>
      </c>
      <c r="B120" s="0" t="s">
        <v>594</v>
      </c>
      <c r="C120" s="0" t="s">
        <v>586</v>
      </c>
      <c r="D120" s="0" t="s">
        <v>552</v>
      </c>
      <c r="E120" s="0" t="s">
        <v>578</v>
      </c>
      <c r="F120" s="0" t="n">
        <v>8</v>
      </c>
      <c r="G120" s="0" t="s">
        <v>553</v>
      </c>
      <c r="H120" s="0" t="s">
        <v>315</v>
      </c>
      <c r="I120" s="9" t="str">
        <f aca="false">VLOOKUP(B120,M:O,3,0)</f>
        <v>14:00</v>
      </c>
      <c r="J120" s="10" t="str">
        <f aca="false">VLOOKUP(B120,M:P,4,0)</f>
        <v>SERIATE VIA DECO' E CANETTA 66</v>
      </c>
    </row>
    <row r="121" customFormat="false" ht="12" hidden="false" customHeight="true" outlineLevel="0" collapsed="false">
      <c r="A121" s="5" t="n">
        <v>46109</v>
      </c>
      <c r="B121" s="0" t="s">
        <v>580</v>
      </c>
      <c r="C121" s="0" t="s">
        <v>592</v>
      </c>
      <c r="D121" s="0" t="s">
        <v>552</v>
      </c>
      <c r="E121" s="0" t="s">
        <v>578</v>
      </c>
      <c r="F121" s="0" t="n">
        <v>8</v>
      </c>
      <c r="G121" s="0" t="s">
        <v>553</v>
      </c>
      <c r="H121" s="0" t="s">
        <v>315</v>
      </c>
      <c r="I121" s="9" t="str">
        <f aca="false">VLOOKUP(B121,M:O,3,0)</f>
        <v>15:00</v>
      </c>
      <c r="J121" s="10" t="str">
        <f aca="false">VLOOKUP(B121,M:P,4,0)</f>
        <v>AZZANO SAN PAOLO VIA STEZZANO 33</v>
      </c>
    </row>
    <row r="122" customFormat="false" ht="12" hidden="false" customHeight="true" outlineLevel="0" collapsed="false">
      <c r="A122" s="5" t="n">
        <v>46109</v>
      </c>
      <c r="B122" s="0" t="s">
        <v>582</v>
      </c>
      <c r="C122" s="0" t="s">
        <v>590</v>
      </c>
      <c r="D122" s="0" t="s">
        <v>552</v>
      </c>
      <c r="E122" s="0" t="s">
        <v>578</v>
      </c>
      <c r="F122" s="0" t="n">
        <v>8</v>
      </c>
      <c r="G122" s="0" t="s">
        <v>553</v>
      </c>
      <c r="H122" s="0" t="s">
        <v>315</v>
      </c>
      <c r="I122" s="9" t="str">
        <f aca="false">VLOOKUP(B122,M:O,3,0)</f>
        <v>16:00</v>
      </c>
      <c r="J122" s="10" t="str">
        <f aca="false">VLOOKUP(B122,M:P,4,0)</f>
        <v>COLOGNO AL SERIO VIA DELLE GALOSE SNC</v>
      </c>
    </row>
    <row r="123" customFormat="false" ht="12" hidden="false" customHeight="true" outlineLevel="0" collapsed="false">
      <c r="A123" s="5" t="n">
        <v>46110</v>
      </c>
      <c r="B123" s="0" t="s">
        <v>584</v>
      </c>
      <c r="C123" s="0" t="s">
        <v>577</v>
      </c>
      <c r="D123" s="0" t="s">
        <v>552</v>
      </c>
      <c r="E123" s="0" t="s">
        <v>578</v>
      </c>
      <c r="F123" s="0" t="n">
        <v>8</v>
      </c>
      <c r="G123" s="0" t="s">
        <v>553</v>
      </c>
      <c r="H123" s="0" t="s">
        <v>315</v>
      </c>
      <c r="I123" s="9" t="n">
        <f aca="false">VLOOKUP(B123,M:O,3,0)</f>
        <v>0.447916666666667</v>
      </c>
      <c r="J123" s="10" t="str">
        <f aca="false">VLOOKUP(B123,M:P,4,0)</f>
        <v>FARA OLIVANA CON SOLA VIA VITTORIO EMANUELE SNC</v>
      </c>
    </row>
    <row r="124" customFormat="false" ht="12" hidden="false" customHeight="true" outlineLevel="0" collapsed="false">
      <c r="A124" s="5" t="n">
        <v>46123</v>
      </c>
      <c r="B124" s="0" t="s">
        <v>577</v>
      </c>
      <c r="C124" s="0" t="s">
        <v>582</v>
      </c>
      <c r="D124" s="0" t="s">
        <v>552</v>
      </c>
      <c r="E124" s="0" t="s">
        <v>578</v>
      </c>
      <c r="F124" s="0" t="n">
        <v>9</v>
      </c>
      <c r="G124" s="0" t="s">
        <v>553</v>
      </c>
      <c r="H124" s="0" t="s">
        <v>315</v>
      </c>
      <c r="I124" s="9" t="str">
        <f aca="false">VLOOKUP(B124,M:O,3,0)</f>
        <v>14:15</v>
      </c>
      <c r="J124" s="10" t="str">
        <f aca="false">VLOOKUP(B124,M:P,4,0)</f>
        <v>PONTIROLO NUOVO VIA ARMANDO DIAZ 22</v>
      </c>
    </row>
    <row r="125" customFormat="false" ht="12" hidden="false" customHeight="true" outlineLevel="0" collapsed="false">
      <c r="A125" s="5" t="n">
        <v>46123</v>
      </c>
      <c r="B125" s="0" t="s">
        <v>586</v>
      </c>
      <c r="C125" s="0" t="s">
        <v>584</v>
      </c>
      <c r="D125" s="0" t="s">
        <v>552</v>
      </c>
      <c r="E125" s="0" t="s">
        <v>578</v>
      </c>
      <c r="F125" s="0" t="n">
        <v>9</v>
      </c>
      <c r="G125" s="0" t="s">
        <v>553</v>
      </c>
      <c r="H125" s="0" t="s">
        <v>315</v>
      </c>
      <c r="I125" s="9" t="str">
        <f aca="false">VLOOKUP(B125,M:O,3,0)</f>
        <v>14:00</v>
      </c>
      <c r="J125" s="10" t="str">
        <f aca="false">VLOOKUP(B125,M:P,4,0)</f>
        <v>GORLE VIA ROMA 2/A</v>
      </c>
    </row>
    <row r="126" customFormat="false" ht="12" hidden="false" customHeight="true" outlineLevel="0" collapsed="false">
      <c r="A126" s="5" t="n">
        <v>46123</v>
      </c>
      <c r="B126" s="0" t="s">
        <v>590</v>
      </c>
      <c r="C126" s="0" t="s">
        <v>588</v>
      </c>
      <c r="D126" s="0" t="s">
        <v>552</v>
      </c>
      <c r="E126" s="0" t="s">
        <v>578</v>
      </c>
      <c r="F126" s="0" t="n">
        <v>9</v>
      </c>
      <c r="G126" s="0" t="s">
        <v>553</v>
      </c>
      <c r="H126" s="0" t="s">
        <v>315</v>
      </c>
      <c r="I126" s="9" t="str">
        <f aca="false">VLOOKUP(B126,M:O,3,0)</f>
        <v>14:30</v>
      </c>
      <c r="J126" s="10" t="str">
        <f aca="false">VLOOKUP(B126,M:P,4,0)</f>
        <v>CORTENUOVA VIA GAETANO DONIZETTI</v>
      </c>
    </row>
    <row r="127" customFormat="false" ht="12" hidden="false" customHeight="true" outlineLevel="0" collapsed="false">
      <c r="A127" s="5" t="n">
        <v>46123</v>
      </c>
      <c r="B127" s="0" t="s">
        <v>592</v>
      </c>
      <c r="C127" s="0" t="s">
        <v>594</v>
      </c>
      <c r="D127" s="0" t="s">
        <v>552</v>
      </c>
      <c r="E127" s="0" t="s">
        <v>578</v>
      </c>
      <c r="F127" s="0" t="n">
        <v>9</v>
      </c>
      <c r="G127" s="0" t="s">
        <v>553</v>
      </c>
      <c r="H127" s="0" t="s">
        <v>315</v>
      </c>
      <c r="I127" s="9" t="str">
        <f aca="false">VLOOKUP(B127,M:O,3,0)</f>
        <v>15:30</v>
      </c>
      <c r="J127" s="10" t="str">
        <f aca="false">VLOOKUP(B127,M:P,4,0)</f>
        <v>URGNANO VIA ROMA 72</v>
      </c>
    </row>
    <row r="128" customFormat="false" ht="12" hidden="false" customHeight="true" outlineLevel="0" collapsed="false">
      <c r="A128" s="5" t="n">
        <v>46060</v>
      </c>
      <c r="B128" s="0" t="s">
        <v>611</v>
      </c>
      <c r="C128" s="0" t="s">
        <v>623</v>
      </c>
      <c r="D128" s="0" t="s">
        <v>552</v>
      </c>
      <c r="E128" s="0" t="s">
        <v>612</v>
      </c>
      <c r="F128" s="0" t="n">
        <v>1</v>
      </c>
      <c r="G128" s="0" t="s">
        <v>553</v>
      </c>
      <c r="H128" s="0" t="s">
        <v>315</v>
      </c>
      <c r="I128" s="9" t="str">
        <f aca="false">VLOOKUP(B128,M:O,3,0)</f>
        <v>15:00</v>
      </c>
      <c r="J128" s="10" t="str">
        <f aca="false">VLOOKUP(B128,M:P,4,0)</f>
        <v>Azzano San Paolo Via Stezzano 33</v>
      </c>
    </row>
    <row r="129" customFormat="false" ht="12" hidden="false" customHeight="true" outlineLevel="0" collapsed="false">
      <c r="A129" s="5" t="n">
        <v>46060</v>
      </c>
      <c r="B129" s="0" t="s">
        <v>614</v>
      </c>
      <c r="C129" s="0" t="s">
        <v>632</v>
      </c>
      <c r="D129" s="0" t="s">
        <v>552</v>
      </c>
      <c r="E129" s="0" t="s">
        <v>612</v>
      </c>
      <c r="F129" s="0" t="n">
        <v>1</v>
      </c>
      <c r="G129" s="0" t="s">
        <v>553</v>
      </c>
      <c r="H129" s="0" t="s">
        <v>315</v>
      </c>
      <c r="I129" s="9" t="str">
        <f aca="false">VLOOKUP(B129,M:O,3,0)</f>
        <v>14:30</v>
      </c>
      <c r="J129" s="10" t="str">
        <f aca="false">VLOOKUP(B129,M:P,4,0)</f>
        <v>Alzano Lombardo Via Europa 50</v>
      </c>
    </row>
    <row r="130" customFormat="false" ht="12" hidden="false" customHeight="true" outlineLevel="0" collapsed="false">
      <c r="A130" s="5" t="n">
        <v>46060</v>
      </c>
      <c r="B130" s="0" t="s">
        <v>616</v>
      </c>
      <c r="C130" s="0" t="s">
        <v>626</v>
      </c>
      <c r="D130" s="0" t="s">
        <v>552</v>
      </c>
      <c r="E130" s="0" t="s">
        <v>612</v>
      </c>
      <c r="F130" s="0" t="n">
        <v>1</v>
      </c>
      <c r="G130" s="0" t="s">
        <v>553</v>
      </c>
      <c r="H130" s="0" t="s">
        <v>315</v>
      </c>
      <c r="I130" s="9" t="str">
        <f aca="false">VLOOKUP(B130,M:O,3,0)</f>
        <v>14:30</v>
      </c>
      <c r="J130" s="10" t="str">
        <f aca="false">VLOOKUP(B130,M:P,4,0)</f>
        <v>Stezzano Via Circonvallazione Ovest 33</v>
      </c>
    </row>
    <row r="131" customFormat="false" ht="12" hidden="false" customHeight="true" outlineLevel="0" collapsed="false">
      <c r="A131" s="5" t="n">
        <v>46060</v>
      </c>
      <c r="B131" s="0" t="s">
        <v>618</v>
      </c>
      <c r="C131" s="0" t="s">
        <v>629</v>
      </c>
      <c r="D131" s="0" t="s">
        <v>552</v>
      </c>
      <c r="E131" s="0" t="s">
        <v>612</v>
      </c>
      <c r="F131" s="0" t="n">
        <v>1</v>
      </c>
      <c r="G131" s="0" t="s">
        <v>553</v>
      </c>
      <c r="H131" s="0" t="s">
        <v>315</v>
      </c>
      <c r="I131" s="9" t="str">
        <f aca="false">VLOOKUP(B131,M:O,3,0)</f>
        <v>14:30</v>
      </c>
      <c r="J131" s="10" t="str">
        <f aca="false">VLOOKUP(B131,M:P,4,0)</f>
        <v>Bergamo Q.re Valtesse Via Baioni 16</v>
      </c>
    </row>
    <row r="132" customFormat="false" ht="12" hidden="false" customHeight="true" outlineLevel="0" collapsed="false">
      <c r="A132" s="5" t="n">
        <v>46067</v>
      </c>
      <c r="B132" s="0" t="s">
        <v>620</v>
      </c>
      <c r="C132" s="0" t="s">
        <v>616</v>
      </c>
      <c r="D132" s="0" t="s">
        <v>552</v>
      </c>
      <c r="E132" s="0" t="s">
        <v>612</v>
      </c>
      <c r="F132" s="0" t="n">
        <v>2</v>
      </c>
      <c r="G132" s="0" t="s">
        <v>553</v>
      </c>
      <c r="H132" s="0" t="s">
        <v>315</v>
      </c>
      <c r="I132" s="9" t="str">
        <f aca="false">VLOOKUP(B132,M:O,3,0)</f>
        <v>14:00</v>
      </c>
      <c r="J132" s="10" t="str">
        <f aca="false">VLOOKUP(B132,M:P,4,0)</f>
        <v>Gorle Via Roma 2/A</v>
      </c>
    </row>
    <row r="133" customFormat="false" ht="12" hidden="false" customHeight="true" outlineLevel="0" collapsed="false">
      <c r="A133" s="5" t="n">
        <v>46067</v>
      </c>
      <c r="B133" s="0" t="s">
        <v>623</v>
      </c>
      <c r="C133" s="0" t="s">
        <v>618</v>
      </c>
      <c r="D133" s="0" t="s">
        <v>552</v>
      </c>
      <c r="E133" s="0" t="s">
        <v>612</v>
      </c>
      <c r="F133" s="0" t="n">
        <v>2</v>
      </c>
      <c r="G133" s="0" t="s">
        <v>553</v>
      </c>
      <c r="H133" s="0" t="s">
        <v>315</v>
      </c>
      <c r="I133" s="9" t="str">
        <f aca="false">VLOOKUP(B133,M:O,3,0)</f>
        <v>16:15</v>
      </c>
      <c r="J133" s="10" t="str">
        <f aca="false">VLOOKUP(B133,M:P,4,0)</f>
        <v>Torre Boldone Viale Lombardia 44</v>
      </c>
    </row>
    <row r="134" customFormat="false" ht="12" hidden="false" customHeight="true" outlineLevel="0" collapsed="false">
      <c r="A134" s="5" t="n">
        <v>46067</v>
      </c>
      <c r="B134" s="0" t="s">
        <v>626</v>
      </c>
      <c r="C134" s="0" t="s">
        <v>611</v>
      </c>
      <c r="D134" s="0" t="s">
        <v>552</v>
      </c>
      <c r="E134" s="0" t="s">
        <v>612</v>
      </c>
      <c r="F134" s="0" t="n">
        <v>2</v>
      </c>
      <c r="G134" s="0" t="s">
        <v>553</v>
      </c>
      <c r="H134" s="0" t="s">
        <v>315</v>
      </c>
      <c r="I134" s="9" t="str">
        <f aca="false">VLOOKUP(B134,M:O,3,0)</f>
        <v>14:45</v>
      </c>
      <c r="J134" s="10" t="str">
        <f aca="false">VLOOKUP(B134,M:P,4,0)</f>
        <v>Bergamo Q.re Campagnola Via Gasparini</v>
      </c>
    </row>
    <row r="135" customFormat="false" ht="12" hidden="false" customHeight="true" outlineLevel="0" collapsed="false">
      <c r="A135" s="5" t="n">
        <v>46067</v>
      </c>
      <c r="B135" s="0" t="s">
        <v>629</v>
      </c>
      <c r="C135" s="0" t="s">
        <v>614</v>
      </c>
      <c r="D135" s="0" t="s">
        <v>552</v>
      </c>
      <c r="E135" s="0" t="s">
        <v>612</v>
      </c>
      <c r="F135" s="0" t="n">
        <v>2</v>
      </c>
      <c r="G135" s="0" t="s">
        <v>553</v>
      </c>
      <c r="H135" s="0" t="s">
        <v>315</v>
      </c>
      <c r="I135" s="9" t="str">
        <f aca="false">VLOOKUP(B135,M:O,3,0)</f>
        <v>16:00</v>
      </c>
      <c r="J135" s="10" t="str">
        <f aca="false">VLOOKUP(B135,M:P,4,0)</f>
        <v>Onore Via Corni 376</v>
      </c>
    </row>
    <row r="136" customFormat="false" ht="12" hidden="false" customHeight="true" outlineLevel="0" collapsed="false">
      <c r="A136" s="5" t="n">
        <v>46074</v>
      </c>
      <c r="B136" s="0" t="s">
        <v>620</v>
      </c>
      <c r="C136" s="0" t="s">
        <v>626</v>
      </c>
      <c r="D136" s="0" t="s">
        <v>552</v>
      </c>
      <c r="E136" s="0" t="s">
        <v>612</v>
      </c>
      <c r="F136" s="0" t="n">
        <v>3</v>
      </c>
      <c r="G136" s="0" t="s">
        <v>553</v>
      </c>
      <c r="H136" s="0" t="s">
        <v>315</v>
      </c>
      <c r="I136" s="9" t="str">
        <f aca="false">VLOOKUP(B136,M:O,3,0)</f>
        <v>14:00</v>
      </c>
      <c r="J136" s="10" t="str">
        <f aca="false">VLOOKUP(B136,M:P,4,0)</f>
        <v>Gorle Via Roma 2/A</v>
      </c>
    </row>
    <row r="137" customFormat="false" ht="12" hidden="false" customHeight="true" outlineLevel="0" collapsed="false">
      <c r="A137" s="5" t="n">
        <v>46074</v>
      </c>
      <c r="B137" s="0" t="s">
        <v>614</v>
      </c>
      <c r="C137" s="0" t="s">
        <v>623</v>
      </c>
      <c r="D137" s="0" t="s">
        <v>552</v>
      </c>
      <c r="E137" s="0" t="s">
        <v>612</v>
      </c>
      <c r="F137" s="0" t="n">
        <v>3</v>
      </c>
      <c r="G137" s="0" t="s">
        <v>553</v>
      </c>
      <c r="H137" s="0" t="s">
        <v>315</v>
      </c>
      <c r="I137" s="9" t="str">
        <f aca="false">VLOOKUP(B137,M:O,3,0)</f>
        <v>14:30</v>
      </c>
      <c r="J137" s="10" t="str">
        <f aca="false">VLOOKUP(B137,M:P,4,0)</f>
        <v>Alzano Lombardo Via Europa 50</v>
      </c>
    </row>
    <row r="138" customFormat="false" ht="12" hidden="false" customHeight="true" outlineLevel="0" collapsed="false">
      <c r="A138" s="5" t="n">
        <v>46074</v>
      </c>
      <c r="B138" s="0" t="s">
        <v>616</v>
      </c>
      <c r="C138" s="0" t="s">
        <v>632</v>
      </c>
      <c r="D138" s="0" t="s">
        <v>552</v>
      </c>
      <c r="E138" s="0" t="s">
        <v>612</v>
      </c>
      <c r="F138" s="0" t="n">
        <v>3</v>
      </c>
      <c r="G138" s="0" t="s">
        <v>553</v>
      </c>
      <c r="H138" s="0" t="s">
        <v>315</v>
      </c>
      <c r="I138" s="9" t="str">
        <f aca="false">VLOOKUP(B138,M:O,3,0)</f>
        <v>14:30</v>
      </c>
      <c r="J138" s="10" t="str">
        <f aca="false">VLOOKUP(B138,M:P,4,0)</f>
        <v>Stezzano Via Circonvallazione Ovest 33</v>
      </c>
    </row>
    <row r="139" customFormat="false" ht="12" hidden="false" customHeight="true" outlineLevel="0" collapsed="false">
      <c r="A139" s="5" t="n">
        <v>46074</v>
      </c>
      <c r="B139" s="0" t="s">
        <v>618</v>
      </c>
      <c r="C139" s="0" t="s">
        <v>611</v>
      </c>
      <c r="D139" s="0" t="s">
        <v>552</v>
      </c>
      <c r="E139" s="0" t="s">
        <v>612</v>
      </c>
      <c r="F139" s="0" t="n">
        <v>3</v>
      </c>
      <c r="G139" s="0" t="s">
        <v>553</v>
      </c>
      <c r="H139" s="0" t="s">
        <v>315</v>
      </c>
      <c r="I139" s="9" t="str">
        <f aca="false">VLOOKUP(B139,M:O,3,0)</f>
        <v>14:30</v>
      </c>
      <c r="J139" s="10" t="str">
        <f aca="false">VLOOKUP(B139,M:P,4,0)</f>
        <v>Bergamo Q.re Valtesse Via Baioni 16</v>
      </c>
    </row>
    <row r="140" customFormat="false" ht="12" hidden="false" customHeight="true" outlineLevel="0" collapsed="false">
      <c r="A140" s="5" t="n">
        <v>46081</v>
      </c>
      <c r="B140" s="0" t="s">
        <v>632</v>
      </c>
      <c r="C140" s="0" t="s">
        <v>620</v>
      </c>
      <c r="D140" s="0" t="s">
        <v>552</v>
      </c>
      <c r="E140" s="0" t="s">
        <v>612</v>
      </c>
      <c r="F140" s="0" t="n">
        <v>4</v>
      </c>
      <c r="G140" s="0" t="s">
        <v>553</v>
      </c>
      <c r="H140" s="0" t="s">
        <v>315</v>
      </c>
      <c r="I140" s="9" t="str">
        <f aca="false">VLOOKUP(B140,M:O,3,0)</f>
        <v>14:15</v>
      </c>
      <c r="J140" s="10" t="str">
        <f aca="false">VLOOKUP(B140,M:P,4,0)</f>
        <v>Bergamo Q.re Redona Via Goisis</v>
      </c>
    </row>
    <row r="141" customFormat="false" ht="12" hidden="false" customHeight="true" outlineLevel="0" collapsed="false">
      <c r="A141" s="5" t="n">
        <v>46081</v>
      </c>
      <c r="B141" s="0" t="s">
        <v>611</v>
      </c>
      <c r="C141" s="0" t="s">
        <v>614</v>
      </c>
      <c r="D141" s="0" t="s">
        <v>552</v>
      </c>
      <c r="E141" s="0" t="s">
        <v>612</v>
      </c>
      <c r="F141" s="0" t="n">
        <v>4</v>
      </c>
      <c r="G141" s="0" t="s">
        <v>553</v>
      </c>
      <c r="H141" s="0" t="s">
        <v>315</v>
      </c>
      <c r="I141" s="9" t="str">
        <f aca="false">VLOOKUP(B141,M:O,3,0)</f>
        <v>15:00</v>
      </c>
      <c r="J141" s="10" t="str">
        <f aca="false">VLOOKUP(B141,M:P,4,0)</f>
        <v>Azzano San Paolo Via Stezzano 33</v>
      </c>
    </row>
    <row r="142" customFormat="false" ht="12" hidden="false" customHeight="true" outlineLevel="0" collapsed="false">
      <c r="A142" s="5" t="n">
        <v>46081</v>
      </c>
      <c r="B142" s="0" t="s">
        <v>626</v>
      </c>
      <c r="C142" s="0" t="s">
        <v>618</v>
      </c>
      <c r="D142" s="0" t="s">
        <v>552</v>
      </c>
      <c r="E142" s="0" t="s">
        <v>612</v>
      </c>
      <c r="F142" s="0" t="n">
        <v>4</v>
      </c>
      <c r="G142" s="0" t="s">
        <v>553</v>
      </c>
      <c r="H142" s="0" t="s">
        <v>315</v>
      </c>
      <c r="I142" s="9" t="str">
        <f aca="false">VLOOKUP(B142,M:O,3,0)</f>
        <v>14:45</v>
      </c>
      <c r="J142" s="10" t="str">
        <f aca="false">VLOOKUP(B142,M:P,4,0)</f>
        <v>Bergamo Q.re Campagnola Via Gasparini</v>
      </c>
    </row>
    <row r="143" customFormat="false" ht="12" hidden="false" customHeight="true" outlineLevel="0" collapsed="false">
      <c r="A143" s="5" t="n">
        <v>46081</v>
      </c>
      <c r="B143" s="0" t="s">
        <v>629</v>
      </c>
      <c r="C143" s="0" t="s">
        <v>616</v>
      </c>
      <c r="D143" s="0" t="s">
        <v>552</v>
      </c>
      <c r="E143" s="0" t="s">
        <v>612</v>
      </c>
      <c r="F143" s="0" t="n">
        <v>4</v>
      </c>
      <c r="G143" s="0" t="s">
        <v>553</v>
      </c>
      <c r="H143" s="0" t="s">
        <v>315</v>
      </c>
      <c r="I143" s="9" t="str">
        <f aca="false">VLOOKUP(B143,M:O,3,0)</f>
        <v>16:00</v>
      </c>
      <c r="J143" s="10" t="str">
        <f aca="false">VLOOKUP(B143,M:P,4,0)</f>
        <v>Onore Via Corni 376</v>
      </c>
    </row>
    <row r="144" customFormat="false" ht="12" hidden="false" customHeight="true" outlineLevel="0" collapsed="false">
      <c r="A144" s="5" t="n">
        <v>46088</v>
      </c>
      <c r="B144" s="0" t="s">
        <v>632</v>
      </c>
      <c r="C144" s="0" t="s">
        <v>626</v>
      </c>
      <c r="D144" s="0" t="s">
        <v>552</v>
      </c>
      <c r="E144" s="0" t="s">
        <v>612</v>
      </c>
      <c r="F144" s="0" t="n">
        <v>5</v>
      </c>
      <c r="G144" s="0" t="s">
        <v>553</v>
      </c>
      <c r="H144" s="0" t="s">
        <v>315</v>
      </c>
      <c r="I144" s="9" t="str">
        <f aca="false">VLOOKUP(B144,M:O,3,0)</f>
        <v>14:15</v>
      </c>
      <c r="J144" s="10" t="str">
        <f aca="false">VLOOKUP(B144,M:P,4,0)</f>
        <v>Bergamo Q.re Redona Via Goisis</v>
      </c>
    </row>
    <row r="145" customFormat="false" ht="12" hidden="false" customHeight="true" outlineLevel="0" collapsed="false">
      <c r="A145" s="5" t="n">
        <v>46088</v>
      </c>
      <c r="B145" s="0" t="s">
        <v>620</v>
      </c>
      <c r="C145" s="0" t="s">
        <v>629</v>
      </c>
      <c r="D145" s="0" t="s">
        <v>552</v>
      </c>
      <c r="E145" s="0" t="s">
        <v>612</v>
      </c>
      <c r="F145" s="0" t="n">
        <v>5</v>
      </c>
      <c r="G145" s="0" t="s">
        <v>553</v>
      </c>
      <c r="H145" s="0" t="s">
        <v>315</v>
      </c>
      <c r="I145" s="9" t="str">
        <f aca="false">VLOOKUP(B145,M:O,3,0)</f>
        <v>14:00</v>
      </c>
      <c r="J145" s="10" t="str">
        <f aca="false">VLOOKUP(B145,M:P,4,0)</f>
        <v>Gorle Via Roma 2/A</v>
      </c>
    </row>
    <row r="146" customFormat="false" ht="12" hidden="false" customHeight="true" outlineLevel="0" collapsed="false">
      <c r="A146" s="5" t="n">
        <v>46088</v>
      </c>
      <c r="B146" s="0" t="s">
        <v>614</v>
      </c>
      <c r="C146" s="0" t="s">
        <v>618</v>
      </c>
      <c r="D146" s="0" t="s">
        <v>552</v>
      </c>
      <c r="E146" s="0" t="s">
        <v>612</v>
      </c>
      <c r="F146" s="0" t="n">
        <v>5</v>
      </c>
      <c r="G146" s="0" t="s">
        <v>553</v>
      </c>
      <c r="H146" s="0" t="s">
        <v>315</v>
      </c>
      <c r="I146" s="9" t="str">
        <f aca="false">VLOOKUP(B146,M:O,3,0)</f>
        <v>14:30</v>
      </c>
      <c r="J146" s="10" t="str">
        <f aca="false">VLOOKUP(B146,M:P,4,0)</f>
        <v>Alzano Lombardo Via Europa 50</v>
      </c>
    </row>
    <row r="147" customFormat="false" ht="12" hidden="false" customHeight="true" outlineLevel="0" collapsed="false">
      <c r="A147" s="5" t="n">
        <v>46088</v>
      </c>
      <c r="B147" s="0" t="s">
        <v>616</v>
      </c>
      <c r="C147" s="0" t="s">
        <v>623</v>
      </c>
      <c r="D147" s="0" t="s">
        <v>552</v>
      </c>
      <c r="E147" s="0" t="s">
        <v>612</v>
      </c>
      <c r="F147" s="0" t="n">
        <v>5</v>
      </c>
      <c r="G147" s="0" t="s">
        <v>553</v>
      </c>
      <c r="H147" s="0" t="s">
        <v>315</v>
      </c>
      <c r="I147" s="9" t="str">
        <f aca="false">VLOOKUP(B147,M:O,3,0)</f>
        <v>14:30</v>
      </c>
      <c r="J147" s="10" t="str">
        <f aca="false">VLOOKUP(B147,M:P,4,0)</f>
        <v>Stezzano Via Circonvallazione Ovest 33</v>
      </c>
    </row>
    <row r="148" customFormat="false" ht="12" hidden="false" customHeight="true" outlineLevel="0" collapsed="false">
      <c r="A148" s="5" t="n">
        <v>46095</v>
      </c>
      <c r="B148" s="0" t="s">
        <v>611</v>
      </c>
      <c r="C148" s="0" t="s">
        <v>616</v>
      </c>
      <c r="D148" s="0" t="s">
        <v>552</v>
      </c>
      <c r="E148" s="0" t="s">
        <v>612</v>
      </c>
      <c r="F148" s="0" t="n">
        <v>6</v>
      </c>
      <c r="G148" s="0" t="s">
        <v>553</v>
      </c>
      <c r="H148" s="0" t="s">
        <v>315</v>
      </c>
      <c r="I148" s="9" t="str">
        <f aca="false">VLOOKUP(B148,M:O,3,0)</f>
        <v>15:00</v>
      </c>
      <c r="J148" s="10" t="str">
        <f aca="false">VLOOKUP(B148,M:P,4,0)</f>
        <v>Azzano San Paolo Via Stezzano 33</v>
      </c>
    </row>
    <row r="149" customFormat="false" ht="12" hidden="false" customHeight="true" outlineLevel="0" collapsed="false">
      <c r="A149" s="5" t="n">
        <v>46095</v>
      </c>
      <c r="B149" s="0" t="s">
        <v>623</v>
      </c>
      <c r="C149" s="0" t="s">
        <v>620</v>
      </c>
      <c r="D149" s="0" t="s">
        <v>552</v>
      </c>
      <c r="E149" s="0" t="s">
        <v>612</v>
      </c>
      <c r="F149" s="0" t="n">
        <v>6</v>
      </c>
      <c r="G149" s="0" t="s">
        <v>553</v>
      </c>
      <c r="H149" s="0" t="s">
        <v>315</v>
      </c>
      <c r="I149" s="9" t="str">
        <f aca="false">VLOOKUP(B149,M:O,3,0)</f>
        <v>16:15</v>
      </c>
      <c r="J149" s="10" t="str">
        <f aca="false">VLOOKUP(B149,M:P,4,0)</f>
        <v>Torre Boldone Viale Lombardia 44</v>
      </c>
    </row>
    <row r="150" customFormat="false" ht="12" hidden="false" customHeight="true" outlineLevel="0" collapsed="false">
      <c r="A150" s="5" t="n">
        <v>46095</v>
      </c>
      <c r="B150" s="0" t="s">
        <v>626</v>
      </c>
      <c r="C150" s="0" t="s">
        <v>614</v>
      </c>
      <c r="D150" s="0" t="s">
        <v>552</v>
      </c>
      <c r="E150" s="0" t="s">
        <v>612</v>
      </c>
      <c r="F150" s="0" t="n">
        <v>6</v>
      </c>
      <c r="G150" s="0" t="s">
        <v>553</v>
      </c>
      <c r="H150" s="0" t="s">
        <v>315</v>
      </c>
      <c r="I150" s="9" t="str">
        <f aca="false">VLOOKUP(B150,M:O,3,0)</f>
        <v>14:45</v>
      </c>
      <c r="J150" s="10" t="str">
        <f aca="false">VLOOKUP(B150,M:P,4,0)</f>
        <v>Bergamo Q.re Campagnola Via Gasparini</v>
      </c>
    </row>
    <row r="151" customFormat="false" ht="12" hidden="false" customHeight="true" outlineLevel="0" collapsed="false">
      <c r="A151" s="5" t="n">
        <v>46095</v>
      </c>
      <c r="B151" s="0" t="s">
        <v>629</v>
      </c>
      <c r="C151" s="0" t="s">
        <v>632</v>
      </c>
      <c r="D151" s="0" t="s">
        <v>552</v>
      </c>
      <c r="E151" s="0" t="s">
        <v>612</v>
      </c>
      <c r="F151" s="0" t="n">
        <v>6</v>
      </c>
      <c r="G151" s="0" t="s">
        <v>553</v>
      </c>
      <c r="H151" s="0" t="s">
        <v>315</v>
      </c>
      <c r="I151" s="9" t="str">
        <f aca="false">VLOOKUP(B151,M:O,3,0)</f>
        <v>16:00</v>
      </c>
      <c r="J151" s="10" t="str">
        <f aca="false">VLOOKUP(B151,M:P,4,0)</f>
        <v>Onore Via Corni 376</v>
      </c>
    </row>
    <row r="152" customFormat="false" ht="12" hidden="false" customHeight="true" outlineLevel="0" collapsed="false">
      <c r="A152" s="5" t="n">
        <v>46102</v>
      </c>
      <c r="B152" s="0" t="s">
        <v>632</v>
      </c>
      <c r="C152" s="0" t="s">
        <v>623</v>
      </c>
      <c r="D152" s="0" t="s">
        <v>552</v>
      </c>
      <c r="E152" s="0" t="s">
        <v>612</v>
      </c>
      <c r="F152" s="0" t="n">
        <v>7</v>
      </c>
      <c r="G152" s="0" t="s">
        <v>553</v>
      </c>
      <c r="H152" s="0" t="s">
        <v>315</v>
      </c>
      <c r="I152" s="9" t="str">
        <f aca="false">VLOOKUP(B152,M:O,3,0)</f>
        <v>14:15</v>
      </c>
      <c r="J152" s="10" t="str">
        <f aca="false">VLOOKUP(B152,M:P,4,0)</f>
        <v>Bergamo Q.re Redona Via Goisis</v>
      </c>
    </row>
    <row r="153" customFormat="false" ht="12" hidden="false" customHeight="true" outlineLevel="0" collapsed="false">
      <c r="A153" s="5" t="n">
        <v>46102</v>
      </c>
      <c r="B153" s="0" t="s">
        <v>620</v>
      </c>
      <c r="C153" s="0" t="s">
        <v>611</v>
      </c>
      <c r="D153" s="0" t="s">
        <v>552</v>
      </c>
      <c r="E153" s="0" t="s">
        <v>612</v>
      </c>
      <c r="F153" s="0" t="n">
        <v>7</v>
      </c>
      <c r="G153" s="0" t="s">
        <v>553</v>
      </c>
      <c r="H153" s="0" t="s">
        <v>315</v>
      </c>
      <c r="I153" s="9" t="str">
        <f aca="false">VLOOKUP(B153,M:O,3,0)</f>
        <v>14:00</v>
      </c>
      <c r="J153" s="10" t="str">
        <f aca="false">VLOOKUP(B153,M:P,4,0)</f>
        <v>Gorle Via Roma 2/A</v>
      </c>
    </row>
    <row r="154" customFormat="false" ht="12" hidden="false" customHeight="true" outlineLevel="0" collapsed="false">
      <c r="A154" s="5" t="n">
        <v>46102</v>
      </c>
      <c r="B154" s="0" t="s">
        <v>616</v>
      </c>
      <c r="C154" s="0" t="s">
        <v>618</v>
      </c>
      <c r="D154" s="0" t="s">
        <v>552</v>
      </c>
      <c r="E154" s="0" t="s">
        <v>612</v>
      </c>
      <c r="F154" s="0" t="n">
        <v>7</v>
      </c>
      <c r="G154" s="0" t="s">
        <v>553</v>
      </c>
      <c r="H154" s="0" t="s">
        <v>315</v>
      </c>
      <c r="I154" s="9" t="str">
        <f aca="false">VLOOKUP(B154,M:O,3,0)</f>
        <v>14:30</v>
      </c>
      <c r="J154" s="10" t="str">
        <f aca="false">VLOOKUP(B154,M:P,4,0)</f>
        <v>Stezzano Via Circonvallazione Ovest 33</v>
      </c>
    </row>
    <row r="155" customFormat="false" ht="12" hidden="false" customHeight="true" outlineLevel="0" collapsed="false">
      <c r="A155" s="5" t="n">
        <v>46102</v>
      </c>
      <c r="B155" s="0" t="s">
        <v>629</v>
      </c>
      <c r="C155" s="0" t="s">
        <v>626</v>
      </c>
      <c r="D155" s="0" t="s">
        <v>552</v>
      </c>
      <c r="E155" s="0" t="s">
        <v>612</v>
      </c>
      <c r="F155" s="0" t="n">
        <v>7</v>
      </c>
      <c r="G155" s="0" t="s">
        <v>553</v>
      </c>
      <c r="H155" s="0" t="s">
        <v>315</v>
      </c>
      <c r="I155" s="9" t="str">
        <f aca="false">VLOOKUP(B155,M:O,3,0)</f>
        <v>16:00</v>
      </c>
      <c r="J155" s="10" t="str">
        <f aca="false">VLOOKUP(B155,M:P,4,0)</f>
        <v>Onore Via Corni 376</v>
      </c>
    </row>
    <row r="156" customFormat="false" ht="12" hidden="false" customHeight="true" outlineLevel="0" collapsed="false">
      <c r="A156" s="5" t="n">
        <v>46109</v>
      </c>
      <c r="B156" s="0" t="s">
        <v>611</v>
      </c>
      <c r="C156" s="0" t="s">
        <v>632</v>
      </c>
      <c r="D156" s="0" t="s">
        <v>552</v>
      </c>
      <c r="E156" s="0" t="s">
        <v>612</v>
      </c>
      <c r="F156" s="0" t="n">
        <v>8</v>
      </c>
      <c r="G156" s="0" t="s">
        <v>553</v>
      </c>
      <c r="H156" s="0" t="s">
        <v>315</v>
      </c>
      <c r="I156" s="9" t="str">
        <f aca="false">VLOOKUP(B156,M:O,3,0)</f>
        <v>15:00</v>
      </c>
      <c r="J156" s="10" t="str">
        <f aca="false">VLOOKUP(B156,M:P,4,0)</f>
        <v>Azzano San Paolo Via Stezzano 33</v>
      </c>
    </row>
    <row r="157" customFormat="false" ht="12" hidden="false" customHeight="true" outlineLevel="0" collapsed="false">
      <c r="A157" s="5" t="n">
        <v>46109</v>
      </c>
      <c r="B157" s="0" t="s">
        <v>614</v>
      </c>
      <c r="C157" s="0" t="s">
        <v>616</v>
      </c>
      <c r="D157" s="0" t="s">
        <v>552</v>
      </c>
      <c r="E157" s="0" t="s">
        <v>612</v>
      </c>
      <c r="F157" s="0" t="n">
        <v>8</v>
      </c>
      <c r="G157" s="0" t="s">
        <v>553</v>
      </c>
      <c r="H157" s="0" t="s">
        <v>315</v>
      </c>
      <c r="I157" s="9" t="str">
        <f aca="false">VLOOKUP(B157,M:O,3,0)</f>
        <v>14:30</v>
      </c>
      <c r="J157" s="10" t="str">
        <f aca="false">VLOOKUP(B157,M:P,4,0)</f>
        <v>Alzano Lombardo Via Europa 50</v>
      </c>
    </row>
    <row r="158" customFormat="false" ht="12" hidden="false" customHeight="true" outlineLevel="0" collapsed="false">
      <c r="A158" s="5" t="n">
        <v>46109</v>
      </c>
      <c r="B158" s="0" t="s">
        <v>623</v>
      </c>
      <c r="C158" s="0" t="s">
        <v>629</v>
      </c>
      <c r="D158" s="0" t="s">
        <v>552</v>
      </c>
      <c r="E158" s="0" t="s">
        <v>612</v>
      </c>
      <c r="F158" s="0" t="n">
        <v>8</v>
      </c>
      <c r="G158" s="0" t="s">
        <v>553</v>
      </c>
      <c r="H158" s="0" t="s">
        <v>315</v>
      </c>
      <c r="I158" s="9" t="str">
        <f aca="false">VLOOKUP(B158,M:O,3,0)</f>
        <v>16:15</v>
      </c>
      <c r="J158" s="10" t="str">
        <f aca="false">VLOOKUP(B158,M:P,4,0)</f>
        <v>Torre Boldone Viale Lombardia 44</v>
      </c>
    </row>
    <row r="159" customFormat="false" ht="12" hidden="false" customHeight="true" outlineLevel="0" collapsed="false">
      <c r="A159" s="5" t="n">
        <v>46109</v>
      </c>
      <c r="B159" s="0" t="s">
        <v>618</v>
      </c>
      <c r="C159" s="0" t="s">
        <v>620</v>
      </c>
      <c r="D159" s="0" t="s">
        <v>552</v>
      </c>
      <c r="E159" s="0" t="s">
        <v>612</v>
      </c>
      <c r="F159" s="0" t="n">
        <v>8</v>
      </c>
      <c r="G159" s="0" t="s">
        <v>553</v>
      </c>
      <c r="H159" s="0" t="s">
        <v>315</v>
      </c>
      <c r="I159" s="9" t="str">
        <f aca="false">VLOOKUP(B159,M:O,3,0)</f>
        <v>14:30</v>
      </c>
      <c r="J159" s="10" t="str">
        <f aca="false">VLOOKUP(B159,M:P,4,0)</f>
        <v>Bergamo Q.re Valtesse Via Baioni 16</v>
      </c>
    </row>
    <row r="160" customFormat="false" ht="12" hidden="false" customHeight="true" outlineLevel="0" collapsed="false">
      <c r="A160" s="5" t="n">
        <v>46123</v>
      </c>
      <c r="B160" s="0" t="s">
        <v>632</v>
      </c>
      <c r="C160" s="0" t="s">
        <v>618</v>
      </c>
      <c r="D160" s="0" t="s">
        <v>552</v>
      </c>
      <c r="E160" s="0" t="s">
        <v>612</v>
      </c>
      <c r="F160" s="0" t="n">
        <v>9</v>
      </c>
      <c r="G160" s="0" t="s">
        <v>553</v>
      </c>
      <c r="H160" s="0" t="s">
        <v>315</v>
      </c>
      <c r="I160" s="9" t="str">
        <f aca="false">VLOOKUP(B160,M:O,3,0)</f>
        <v>14:15</v>
      </c>
      <c r="J160" s="10" t="str">
        <f aca="false">VLOOKUP(B160,M:P,4,0)</f>
        <v>Bergamo Q.re Redona Via Goisis</v>
      </c>
    </row>
    <row r="161" customFormat="false" ht="12" hidden="false" customHeight="true" outlineLevel="0" collapsed="false">
      <c r="A161" s="5" t="n">
        <v>46123</v>
      </c>
      <c r="B161" s="0" t="s">
        <v>620</v>
      </c>
      <c r="C161" s="0" t="s">
        <v>614</v>
      </c>
      <c r="D161" s="0" t="s">
        <v>552</v>
      </c>
      <c r="E161" s="0" t="s">
        <v>612</v>
      </c>
      <c r="F161" s="0" t="n">
        <v>9</v>
      </c>
      <c r="G161" s="0" t="s">
        <v>553</v>
      </c>
      <c r="H161" s="0" t="s">
        <v>315</v>
      </c>
      <c r="I161" s="9" t="str">
        <f aca="false">VLOOKUP(B161,M:O,3,0)</f>
        <v>14:00</v>
      </c>
      <c r="J161" s="10" t="str">
        <f aca="false">VLOOKUP(B161,M:P,4,0)</f>
        <v>Gorle Via Roma 2/A</v>
      </c>
    </row>
    <row r="162" customFormat="false" ht="12" hidden="false" customHeight="true" outlineLevel="0" collapsed="false">
      <c r="A162" s="5" t="n">
        <v>46123</v>
      </c>
      <c r="B162" s="0" t="s">
        <v>626</v>
      </c>
      <c r="C162" s="0" t="s">
        <v>623</v>
      </c>
      <c r="D162" s="0" t="s">
        <v>552</v>
      </c>
      <c r="E162" s="0" t="s">
        <v>612</v>
      </c>
      <c r="F162" s="0" t="n">
        <v>9</v>
      </c>
      <c r="G162" s="0" t="s">
        <v>553</v>
      </c>
      <c r="H162" s="0" t="s">
        <v>315</v>
      </c>
      <c r="I162" s="9" t="str">
        <f aca="false">VLOOKUP(B162,M:O,3,0)</f>
        <v>14:45</v>
      </c>
      <c r="J162" s="10" t="str">
        <f aca="false">VLOOKUP(B162,M:P,4,0)</f>
        <v>Bergamo Q.re Campagnola Via Gasparini</v>
      </c>
    </row>
    <row r="163" customFormat="false" ht="12" hidden="false" customHeight="true" outlineLevel="0" collapsed="false">
      <c r="A163" s="5" t="n">
        <v>46123</v>
      </c>
      <c r="B163" s="0" t="s">
        <v>629</v>
      </c>
      <c r="C163" s="0" t="s">
        <v>611</v>
      </c>
      <c r="D163" s="0" t="s">
        <v>552</v>
      </c>
      <c r="E163" s="0" t="s">
        <v>612</v>
      </c>
      <c r="F163" s="0" t="n">
        <v>9</v>
      </c>
      <c r="G163" s="0" t="s">
        <v>553</v>
      </c>
      <c r="H163" s="0" t="s">
        <v>315</v>
      </c>
      <c r="I163" s="9" t="str">
        <f aca="false">VLOOKUP(B163,M:O,3,0)</f>
        <v>16:00</v>
      </c>
      <c r="J163" s="10" t="str">
        <f aca="false">VLOOKUP(B163,M:P,4,0)</f>
        <v>Onore Via Corni 376</v>
      </c>
    </row>
    <row r="164" customFormat="false" ht="12" hidden="false" customHeight="true" outlineLevel="0" collapsed="false">
      <c r="A164" s="12" t="n">
        <v>46060</v>
      </c>
      <c r="B164" s="0" t="s">
        <v>596</v>
      </c>
      <c r="C164" s="0" t="s">
        <v>606</v>
      </c>
      <c r="D164" s="0" t="s">
        <v>552</v>
      </c>
      <c r="E164" s="0" t="s">
        <v>635</v>
      </c>
      <c r="F164" s="0" t="n">
        <v>1</v>
      </c>
      <c r="G164" s="0" t="s">
        <v>553</v>
      </c>
      <c r="H164" s="0" t="s">
        <v>636</v>
      </c>
      <c r="I164" s="9" t="n">
        <f aca="false">VLOOKUP(B164,M:O,3,0)</f>
        <v>0.625</v>
      </c>
      <c r="J164" s="10" t="str">
        <f aca="false">VLOOKUP(B164,M:P,4,0)</f>
        <v>ALME' VIA OLIMPIA8</v>
      </c>
    </row>
    <row r="165" customFormat="false" ht="12" hidden="false" customHeight="true" outlineLevel="0" collapsed="false">
      <c r="A165" s="12" t="n">
        <v>46060</v>
      </c>
      <c r="B165" s="0" t="s">
        <v>598</v>
      </c>
      <c r="C165" s="0" t="s">
        <v>608</v>
      </c>
      <c r="D165" s="0" t="s">
        <v>552</v>
      </c>
      <c r="E165" s="0" t="s">
        <v>635</v>
      </c>
      <c r="F165" s="0" t="n">
        <v>1</v>
      </c>
      <c r="G165" s="0" t="s">
        <v>553</v>
      </c>
      <c r="H165" s="0" t="s">
        <v>636</v>
      </c>
      <c r="I165" s="9" t="n">
        <f aca="false">VLOOKUP(B165,M:O,3,0)</f>
        <v>0.65625</v>
      </c>
      <c r="J165" s="10" t="str">
        <f aca="false">VLOOKUP(B165,M:P,4,0)</f>
        <v>LALLIO VIA EVARISTO BASCHENIS</v>
      </c>
    </row>
    <row r="166" customFormat="false" ht="12" hidden="false" customHeight="true" outlineLevel="0" collapsed="false">
      <c r="A166" s="12" t="n">
        <v>46060</v>
      </c>
      <c r="B166" s="0" t="s">
        <v>600</v>
      </c>
      <c r="C166" s="0" t="s">
        <v>602</v>
      </c>
      <c r="D166" s="0" t="s">
        <v>552</v>
      </c>
      <c r="E166" s="0" t="s">
        <v>635</v>
      </c>
      <c r="F166" s="0" t="n">
        <v>1</v>
      </c>
      <c r="G166" s="0" t="s">
        <v>553</v>
      </c>
      <c r="H166" s="0" t="s">
        <v>636</v>
      </c>
      <c r="I166" s="9" t="n">
        <f aca="false">VLOOKUP(B166,M:O,3,0)</f>
        <v>0.645833333333333</v>
      </c>
      <c r="J166" s="10" t="str">
        <f aca="false">VLOOKUP(B166,M:P,4,0)</f>
        <v>CARVICO VIA PEDRAZZI</v>
      </c>
    </row>
    <row r="167" customFormat="false" ht="12" hidden="false" customHeight="true" outlineLevel="0" collapsed="false">
      <c r="A167" s="12" t="n">
        <v>46060</v>
      </c>
      <c r="B167" s="0" t="s">
        <v>601</v>
      </c>
      <c r="C167" s="0" t="s">
        <v>440</v>
      </c>
      <c r="D167" s="0" t="s">
        <v>552</v>
      </c>
      <c r="E167" s="0" t="s">
        <v>635</v>
      </c>
      <c r="F167" s="0" t="n">
        <v>1</v>
      </c>
      <c r="G167" s="0" t="s">
        <v>553</v>
      </c>
      <c r="H167" s="0" t="s">
        <v>636</v>
      </c>
      <c r="I167" s="9" t="n">
        <f aca="false">VLOOKUP(B167,M:O,3,0)</f>
        <v>0.59375</v>
      </c>
      <c r="J167" s="10" t="str">
        <f aca="false">VLOOKUP(B167,M:P,4,0)</f>
        <v>MAPELLO VIA DEL LAZZARINO 1</v>
      </c>
    </row>
    <row r="168" customFormat="false" ht="12" hidden="false" customHeight="true" outlineLevel="0" collapsed="false">
      <c r="A168" s="12" t="n">
        <v>46067</v>
      </c>
      <c r="B168" s="0" t="s">
        <v>602</v>
      </c>
      <c r="C168" s="0" t="s">
        <v>601</v>
      </c>
      <c r="D168" s="0" t="s">
        <v>552</v>
      </c>
      <c r="E168" s="0" t="s">
        <v>635</v>
      </c>
      <c r="F168" s="0" t="n">
        <v>2</v>
      </c>
      <c r="G168" s="0" t="s">
        <v>553</v>
      </c>
      <c r="H168" s="0" t="s">
        <v>636</v>
      </c>
      <c r="I168" s="9" t="n">
        <f aca="false">VLOOKUP(B168,M:O,3,0)</f>
        <v>0.625</v>
      </c>
      <c r="J168" s="10" t="str">
        <f aca="false">VLOOKUP(B168,M:P,4,0)</f>
        <v>BERBENNO VIA STOPPANI114</v>
      </c>
    </row>
    <row r="169" customFormat="false" ht="12" hidden="false" customHeight="true" outlineLevel="0" collapsed="false">
      <c r="A169" s="12" t="n">
        <v>46067</v>
      </c>
      <c r="B169" s="0" t="s">
        <v>604</v>
      </c>
      <c r="C169" s="0" t="s">
        <v>596</v>
      </c>
      <c r="D169" s="0" t="s">
        <v>552</v>
      </c>
      <c r="E169" s="0" t="s">
        <v>635</v>
      </c>
      <c r="F169" s="0" t="n">
        <v>2</v>
      </c>
      <c r="G169" s="0" t="s">
        <v>553</v>
      </c>
      <c r="H169" s="0" t="s">
        <v>636</v>
      </c>
      <c r="I169" s="9" t="n">
        <f aca="false">VLOOKUP(B169,M:O,3,0)</f>
        <v>0.625</v>
      </c>
      <c r="J169" s="10" t="str">
        <f aca="false">VLOOKUP(B169,M:P,4,0)</f>
        <v>PONTERANICA VIA 8 MARZO13</v>
      </c>
    </row>
    <row r="170" customFormat="false" ht="12" hidden="false" customHeight="true" outlineLevel="0" collapsed="false">
      <c r="A170" s="12" t="n">
        <v>46067</v>
      </c>
      <c r="B170" s="0" t="s">
        <v>606</v>
      </c>
      <c r="C170" s="0" t="s">
        <v>598</v>
      </c>
      <c r="D170" s="0" t="s">
        <v>552</v>
      </c>
      <c r="E170" s="0" t="s">
        <v>635</v>
      </c>
      <c r="F170" s="0" t="n">
        <v>2</v>
      </c>
      <c r="G170" s="0" t="s">
        <v>553</v>
      </c>
      <c r="H170" s="0" t="s">
        <v>636</v>
      </c>
      <c r="I170" s="9" t="n">
        <f aca="false">VLOOKUP(B170,M:O,3,0)</f>
        <v>0.65625</v>
      </c>
      <c r="J170" s="10" t="str">
        <f aca="false">VLOOKUP(B170,M:P,4,0)</f>
        <v>ALBEGNO FRAZ. TREVIOLO PIAZZA DELLA CONCILIAZIONE</v>
      </c>
    </row>
    <row r="171" customFormat="false" ht="12" hidden="false" customHeight="true" outlineLevel="0" collapsed="false">
      <c r="A171" s="12" t="n">
        <v>46067</v>
      </c>
      <c r="B171" s="0" t="s">
        <v>608</v>
      </c>
      <c r="C171" s="0" t="s">
        <v>600</v>
      </c>
      <c r="D171" s="0" t="s">
        <v>552</v>
      </c>
      <c r="E171" s="0" t="s">
        <v>635</v>
      </c>
      <c r="F171" s="0" t="n">
        <v>2</v>
      </c>
      <c r="G171" s="0" t="s">
        <v>553</v>
      </c>
      <c r="H171" s="0" t="s">
        <v>636</v>
      </c>
      <c r="I171" s="9" t="n">
        <f aca="false">VLOOKUP(B171,M:O,3,0)</f>
        <v>0.604166666666667</v>
      </c>
      <c r="J171" s="10" t="str">
        <f aca="false">VLOOKUP(B171,M:P,4,0)</f>
        <v>ZOGNO VIA CAMANCHE SNC - CAMANGHE</v>
      </c>
    </row>
    <row r="172" customFormat="false" ht="12" hidden="false" customHeight="true" outlineLevel="0" collapsed="false">
      <c r="A172" s="12" t="n">
        <v>46074</v>
      </c>
      <c r="B172" s="0" t="s">
        <v>596</v>
      </c>
      <c r="C172" s="0" t="s">
        <v>440</v>
      </c>
      <c r="D172" s="0" t="s">
        <v>552</v>
      </c>
      <c r="E172" s="0" t="s">
        <v>635</v>
      </c>
      <c r="F172" s="0" t="n">
        <v>3</v>
      </c>
      <c r="G172" s="0" t="s">
        <v>553</v>
      </c>
      <c r="H172" s="0" t="s">
        <v>636</v>
      </c>
      <c r="I172" s="9" t="n">
        <f aca="false">VLOOKUP(B172,M:O,3,0)</f>
        <v>0.625</v>
      </c>
      <c r="J172" s="10" t="str">
        <f aca="false">VLOOKUP(B172,M:P,4,0)</f>
        <v>ALME' VIA OLIMPIA8</v>
      </c>
    </row>
    <row r="173" customFormat="false" ht="12" hidden="false" customHeight="true" outlineLevel="0" collapsed="false">
      <c r="A173" s="12" t="n">
        <v>46074</v>
      </c>
      <c r="B173" s="0" t="s">
        <v>598</v>
      </c>
      <c r="C173" s="0" t="s">
        <v>604</v>
      </c>
      <c r="D173" s="0" t="s">
        <v>552</v>
      </c>
      <c r="E173" s="0" t="s">
        <v>635</v>
      </c>
      <c r="F173" s="0" t="n">
        <v>3</v>
      </c>
      <c r="G173" s="0" t="s">
        <v>553</v>
      </c>
      <c r="H173" s="0" t="s">
        <v>636</v>
      </c>
      <c r="I173" s="9" t="n">
        <f aca="false">VLOOKUP(B173,M:O,3,0)</f>
        <v>0.65625</v>
      </c>
      <c r="J173" s="10" t="str">
        <f aca="false">VLOOKUP(B173,M:P,4,0)</f>
        <v>LALLIO VIA EVARISTO BASCHENIS</v>
      </c>
    </row>
    <row r="174" customFormat="false" ht="12" hidden="false" customHeight="true" outlineLevel="0" collapsed="false">
      <c r="A174" s="12" t="n">
        <v>46074</v>
      </c>
      <c r="B174" s="0" t="s">
        <v>601</v>
      </c>
      <c r="C174" s="0" t="s">
        <v>600</v>
      </c>
      <c r="D174" s="0" t="s">
        <v>552</v>
      </c>
      <c r="E174" s="0" t="s">
        <v>635</v>
      </c>
      <c r="F174" s="0" t="n">
        <v>3</v>
      </c>
      <c r="G174" s="0" t="s">
        <v>553</v>
      </c>
      <c r="H174" s="0" t="s">
        <v>636</v>
      </c>
      <c r="I174" s="9" t="n">
        <f aca="false">VLOOKUP(B174,M:O,3,0)</f>
        <v>0.59375</v>
      </c>
      <c r="J174" s="10" t="str">
        <f aca="false">VLOOKUP(B174,M:P,4,0)</f>
        <v>MAPELLO VIA DEL LAZZARINO 1</v>
      </c>
    </row>
    <row r="175" customFormat="false" ht="12" hidden="false" customHeight="true" outlineLevel="0" collapsed="false">
      <c r="A175" s="12" t="n">
        <v>46074</v>
      </c>
      <c r="B175" s="0" t="s">
        <v>606</v>
      </c>
      <c r="C175" s="0" t="s">
        <v>608</v>
      </c>
      <c r="D175" s="0" t="s">
        <v>552</v>
      </c>
      <c r="E175" s="0" t="s">
        <v>635</v>
      </c>
      <c r="F175" s="0" t="n">
        <v>3</v>
      </c>
      <c r="G175" s="0" t="s">
        <v>553</v>
      </c>
      <c r="H175" s="0" t="s">
        <v>636</v>
      </c>
      <c r="I175" s="9" t="n">
        <f aca="false">VLOOKUP(B175,M:O,3,0)</f>
        <v>0.65625</v>
      </c>
      <c r="J175" s="10" t="str">
        <f aca="false">VLOOKUP(B175,M:P,4,0)</f>
        <v>ALBEGNO FRAZ. TREVIOLO PIAZZA DELLA CONCILIAZIONE</v>
      </c>
    </row>
    <row r="176" customFormat="false" ht="12" hidden="false" customHeight="true" outlineLevel="0" collapsed="false">
      <c r="A176" s="12" t="n">
        <v>46081</v>
      </c>
      <c r="B176" s="0" t="s">
        <v>602</v>
      </c>
      <c r="C176" s="0" t="s">
        <v>596</v>
      </c>
      <c r="D176" s="0" t="s">
        <v>552</v>
      </c>
      <c r="E176" s="0" t="s">
        <v>635</v>
      </c>
      <c r="F176" s="0" t="n">
        <v>4</v>
      </c>
      <c r="G176" s="0" t="s">
        <v>553</v>
      </c>
      <c r="H176" s="0" t="s">
        <v>636</v>
      </c>
      <c r="I176" s="9" t="n">
        <f aca="false">VLOOKUP(B176,M:O,3,0)</f>
        <v>0.625</v>
      </c>
      <c r="J176" s="10" t="str">
        <f aca="false">VLOOKUP(B176,M:P,4,0)</f>
        <v>BERBENNO VIA STOPPANI114</v>
      </c>
    </row>
    <row r="177" customFormat="false" ht="12" hidden="false" customHeight="true" outlineLevel="0" collapsed="false">
      <c r="A177" s="12" t="n">
        <v>46081</v>
      </c>
      <c r="B177" s="0" t="s">
        <v>440</v>
      </c>
      <c r="C177" s="0" t="s">
        <v>598</v>
      </c>
      <c r="D177" s="0" t="s">
        <v>552</v>
      </c>
      <c r="E177" s="0" t="s">
        <v>635</v>
      </c>
      <c r="F177" s="0" t="n">
        <v>4</v>
      </c>
      <c r="G177" s="0" t="s">
        <v>553</v>
      </c>
      <c r="H177" s="0" t="s">
        <v>636</v>
      </c>
      <c r="I177" s="9" t="n">
        <f aca="false">VLOOKUP(B177,M:O,3,0)</f>
        <v>0.625</v>
      </c>
      <c r="J177" s="10" t="str">
        <f aca="false">VLOOKUP(B177,M:P,4,0)</f>
        <v>CISANO BERGAMASCO VIA CA' DE' VOLPI N°7</v>
      </c>
    </row>
    <row r="178" customFormat="false" ht="12" hidden="false" customHeight="true" outlineLevel="0" collapsed="false">
      <c r="A178" s="12" t="n">
        <v>46081</v>
      </c>
      <c r="B178" s="0" t="s">
        <v>604</v>
      </c>
      <c r="C178" s="0" t="s">
        <v>606</v>
      </c>
      <c r="D178" s="0" t="s">
        <v>552</v>
      </c>
      <c r="E178" s="0" t="s">
        <v>635</v>
      </c>
      <c r="F178" s="0" t="n">
        <v>4</v>
      </c>
      <c r="G178" s="0" t="s">
        <v>553</v>
      </c>
      <c r="H178" s="0" t="s">
        <v>636</v>
      </c>
      <c r="I178" s="9" t="n">
        <f aca="false">VLOOKUP(B178,M:O,3,0)</f>
        <v>0.625</v>
      </c>
      <c r="J178" s="10" t="str">
        <f aca="false">VLOOKUP(B178,M:P,4,0)</f>
        <v>PONTERANICA VIA 8 MARZO13</v>
      </c>
    </row>
    <row r="179" customFormat="false" ht="12" hidden="false" customHeight="true" outlineLevel="0" collapsed="false">
      <c r="A179" s="12" t="n">
        <v>46081</v>
      </c>
      <c r="B179" s="0" t="s">
        <v>608</v>
      </c>
      <c r="C179" s="0" t="s">
        <v>601</v>
      </c>
      <c r="D179" s="0" t="s">
        <v>552</v>
      </c>
      <c r="E179" s="0" t="s">
        <v>635</v>
      </c>
      <c r="F179" s="0" t="n">
        <v>4</v>
      </c>
      <c r="G179" s="0" t="s">
        <v>553</v>
      </c>
      <c r="H179" s="0" t="s">
        <v>636</v>
      </c>
      <c r="I179" s="9" t="n">
        <f aca="false">VLOOKUP(B179,M:O,3,0)</f>
        <v>0.604166666666667</v>
      </c>
      <c r="J179" s="10" t="str">
        <f aca="false">VLOOKUP(B179,M:P,4,0)</f>
        <v>ZOGNO VIA CAMANCHE SNC - CAMANGHE</v>
      </c>
    </row>
    <row r="180" customFormat="false" ht="12" hidden="false" customHeight="true" outlineLevel="0" collapsed="false">
      <c r="A180" s="12" t="n">
        <v>46088</v>
      </c>
      <c r="B180" s="0" t="s">
        <v>596</v>
      </c>
      <c r="C180" s="0" t="s">
        <v>600</v>
      </c>
      <c r="D180" s="0" t="s">
        <v>552</v>
      </c>
      <c r="E180" s="0" t="s">
        <v>635</v>
      </c>
      <c r="F180" s="0" t="n">
        <v>5</v>
      </c>
      <c r="G180" s="0" t="s">
        <v>553</v>
      </c>
      <c r="H180" s="0" t="s">
        <v>636</v>
      </c>
      <c r="I180" s="9" t="n">
        <f aca="false">VLOOKUP(B180,M:O,3,0)</f>
        <v>0.625</v>
      </c>
      <c r="J180" s="10" t="str">
        <f aca="false">VLOOKUP(B180,M:P,4,0)</f>
        <v>ALME' VIA OLIMPIA8</v>
      </c>
    </row>
    <row r="181" customFormat="false" ht="12" hidden="false" customHeight="true" outlineLevel="0" collapsed="false">
      <c r="A181" s="12" t="n">
        <v>46088</v>
      </c>
      <c r="B181" s="0" t="s">
        <v>598</v>
      </c>
      <c r="C181" s="0" t="s">
        <v>602</v>
      </c>
      <c r="D181" s="0" t="s">
        <v>552</v>
      </c>
      <c r="E181" s="0" t="s">
        <v>635</v>
      </c>
      <c r="F181" s="0" t="n">
        <v>5</v>
      </c>
      <c r="G181" s="0" t="s">
        <v>553</v>
      </c>
      <c r="H181" s="0" t="s">
        <v>636</v>
      </c>
      <c r="I181" s="9" t="n">
        <f aca="false">VLOOKUP(B181,M:O,3,0)</f>
        <v>0.65625</v>
      </c>
      <c r="J181" s="10" t="str">
        <f aca="false">VLOOKUP(B181,M:P,4,0)</f>
        <v>LALLIO VIA EVARISTO BASCHENIS</v>
      </c>
    </row>
    <row r="182" customFormat="false" ht="12" hidden="false" customHeight="true" outlineLevel="0" collapsed="false">
      <c r="A182" s="12" t="n">
        <v>46088</v>
      </c>
      <c r="B182" s="0" t="s">
        <v>604</v>
      </c>
      <c r="C182" s="0" t="s">
        <v>608</v>
      </c>
      <c r="D182" s="0" t="s">
        <v>552</v>
      </c>
      <c r="E182" s="0" t="s">
        <v>635</v>
      </c>
      <c r="F182" s="0" t="n">
        <v>5</v>
      </c>
      <c r="G182" s="0" t="s">
        <v>553</v>
      </c>
      <c r="H182" s="0" t="s">
        <v>636</v>
      </c>
      <c r="I182" s="9" t="n">
        <f aca="false">VLOOKUP(B182,M:O,3,0)</f>
        <v>0.625</v>
      </c>
      <c r="J182" s="10" t="str">
        <f aca="false">VLOOKUP(B182,M:P,4,0)</f>
        <v>PONTERANICA VIA 8 MARZO13</v>
      </c>
    </row>
    <row r="183" customFormat="false" ht="12" hidden="false" customHeight="true" outlineLevel="0" collapsed="false">
      <c r="A183" s="12" t="n">
        <v>46088</v>
      </c>
      <c r="B183" s="0" t="s">
        <v>606</v>
      </c>
      <c r="C183" s="0" t="s">
        <v>440</v>
      </c>
      <c r="D183" s="0" t="s">
        <v>552</v>
      </c>
      <c r="E183" s="0" t="s">
        <v>635</v>
      </c>
      <c r="F183" s="0" t="n">
        <v>5</v>
      </c>
      <c r="G183" s="0" t="s">
        <v>553</v>
      </c>
      <c r="H183" s="0" t="s">
        <v>636</v>
      </c>
      <c r="I183" s="9" t="n">
        <f aca="false">VLOOKUP(B183,M:O,3,0)</f>
        <v>0.65625</v>
      </c>
      <c r="J183" s="10" t="str">
        <f aca="false">VLOOKUP(B183,M:P,4,0)</f>
        <v>ALBEGNO FRAZ. TREVIOLO PIAZZA DELLA CONCILIAZIONE</v>
      </c>
    </row>
    <row r="184" customFormat="false" ht="12" hidden="false" customHeight="true" outlineLevel="0" collapsed="false">
      <c r="A184" s="13" t="n">
        <v>46095</v>
      </c>
      <c r="B184" s="0" t="s">
        <v>602</v>
      </c>
      <c r="C184" s="0" t="s">
        <v>606</v>
      </c>
      <c r="D184" s="0" t="s">
        <v>552</v>
      </c>
      <c r="E184" s="0" t="s">
        <v>635</v>
      </c>
      <c r="F184" s="0" t="n">
        <v>6</v>
      </c>
      <c r="G184" s="0" t="s">
        <v>553</v>
      </c>
      <c r="H184" s="0" t="s">
        <v>636</v>
      </c>
      <c r="I184" s="9" t="n">
        <f aca="false">VLOOKUP(B184,M:O,3,0)</f>
        <v>0.625</v>
      </c>
      <c r="J184" s="10" t="str">
        <f aca="false">VLOOKUP(B184,M:P,4,0)</f>
        <v>BERBENNO VIA STOPPANI114</v>
      </c>
    </row>
    <row r="185" customFormat="false" ht="12" hidden="false" customHeight="true" outlineLevel="0" collapsed="false">
      <c r="A185" s="13" t="n">
        <v>46095</v>
      </c>
      <c r="B185" s="0" t="s">
        <v>440</v>
      </c>
      <c r="C185" s="0" t="s">
        <v>604</v>
      </c>
      <c r="D185" s="0" t="s">
        <v>552</v>
      </c>
      <c r="E185" s="0" t="s">
        <v>635</v>
      </c>
      <c r="F185" s="0" t="n">
        <v>6</v>
      </c>
      <c r="G185" s="0" t="s">
        <v>553</v>
      </c>
      <c r="H185" s="0" t="s">
        <v>636</v>
      </c>
      <c r="I185" s="9" t="n">
        <f aca="false">VLOOKUP(B185,M:O,3,0)</f>
        <v>0.625</v>
      </c>
      <c r="J185" s="10" t="str">
        <f aca="false">VLOOKUP(B185,M:P,4,0)</f>
        <v>CISANO BERGAMASCO VIA CA' DE' VOLPI N°7</v>
      </c>
    </row>
    <row r="186" customFormat="false" ht="12" hidden="false" customHeight="true" outlineLevel="0" collapsed="false">
      <c r="A186" s="13" t="n">
        <v>46095</v>
      </c>
      <c r="B186" s="0" t="s">
        <v>600</v>
      </c>
      <c r="C186" s="0" t="s">
        <v>598</v>
      </c>
      <c r="D186" s="0" t="s">
        <v>552</v>
      </c>
      <c r="E186" s="0" t="s">
        <v>635</v>
      </c>
      <c r="F186" s="0" t="n">
        <v>6</v>
      </c>
      <c r="G186" s="0" t="s">
        <v>553</v>
      </c>
      <c r="H186" s="0" t="s">
        <v>636</v>
      </c>
      <c r="I186" s="9" t="n">
        <f aca="false">VLOOKUP(B186,M:O,3,0)</f>
        <v>0.645833333333333</v>
      </c>
      <c r="J186" s="10" t="str">
        <f aca="false">VLOOKUP(B186,M:P,4,0)</f>
        <v>CARVICO VIA PEDRAZZI</v>
      </c>
    </row>
    <row r="187" customFormat="false" ht="12" hidden="false" customHeight="true" outlineLevel="0" collapsed="false">
      <c r="A187" s="13" t="n">
        <v>46095</v>
      </c>
      <c r="B187" s="0" t="s">
        <v>601</v>
      </c>
      <c r="C187" s="0" t="s">
        <v>596</v>
      </c>
      <c r="D187" s="0" t="s">
        <v>552</v>
      </c>
      <c r="E187" s="0" t="s">
        <v>635</v>
      </c>
      <c r="F187" s="0" t="n">
        <v>6</v>
      </c>
      <c r="G187" s="0" t="s">
        <v>553</v>
      </c>
      <c r="H187" s="0" t="s">
        <v>636</v>
      </c>
      <c r="I187" s="9" t="n">
        <f aca="false">VLOOKUP(B187,M:O,3,0)</f>
        <v>0.59375</v>
      </c>
      <c r="J187" s="10" t="str">
        <f aca="false">VLOOKUP(B187,M:P,4,0)</f>
        <v>MAPELLO VIA DEL LAZZARINO 1</v>
      </c>
    </row>
    <row r="188" customFormat="false" ht="12" hidden="false" customHeight="true" outlineLevel="0" collapsed="false">
      <c r="A188" s="13" t="n">
        <v>46102</v>
      </c>
      <c r="B188" s="0" t="s">
        <v>440</v>
      </c>
      <c r="C188" s="0" t="s">
        <v>608</v>
      </c>
      <c r="D188" s="0" t="s">
        <v>552</v>
      </c>
      <c r="E188" s="0" t="s">
        <v>635</v>
      </c>
      <c r="F188" s="0" t="n">
        <v>7</v>
      </c>
      <c r="G188" s="0" t="s">
        <v>553</v>
      </c>
      <c r="H188" s="0" t="s">
        <v>636</v>
      </c>
      <c r="I188" s="9" t="n">
        <f aca="false">VLOOKUP(B188,M:O,3,0)</f>
        <v>0.625</v>
      </c>
      <c r="J188" s="10" t="str">
        <f aca="false">VLOOKUP(B188,M:P,4,0)</f>
        <v>CISANO BERGAMASCO VIA CA' DE' VOLPI N°7</v>
      </c>
    </row>
    <row r="189" customFormat="false" ht="12" hidden="false" customHeight="true" outlineLevel="0" collapsed="false">
      <c r="A189" s="13" t="n">
        <v>46102</v>
      </c>
      <c r="B189" s="0" t="s">
        <v>598</v>
      </c>
      <c r="C189" s="0" t="s">
        <v>601</v>
      </c>
      <c r="D189" s="0" t="s">
        <v>552</v>
      </c>
      <c r="E189" s="0" t="s">
        <v>635</v>
      </c>
      <c r="F189" s="0" t="n">
        <v>7</v>
      </c>
      <c r="G189" s="0" t="s">
        <v>553</v>
      </c>
      <c r="H189" s="0" t="s">
        <v>636</v>
      </c>
      <c r="I189" s="9" t="n">
        <f aca="false">VLOOKUP(B189,M:O,3,0)</f>
        <v>0.65625</v>
      </c>
      <c r="J189" s="10" t="str">
        <f aca="false">VLOOKUP(B189,M:P,4,0)</f>
        <v>LALLIO VIA EVARISTO BASCHENIS</v>
      </c>
    </row>
    <row r="190" customFormat="false" ht="12" hidden="false" customHeight="true" outlineLevel="0" collapsed="false">
      <c r="A190" s="13" t="n">
        <v>46102</v>
      </c>
      <c r="B190" s="0" t="s">
        <v>604</v>
      </c>
      <c r="C190" s="0" t="s">
        <v>602</v>
      </c>
      <c r="D190" s="0" t="s">
        <v>552</v>
      </c>
      <c r="E190" s="0" t="s">
        <v>635</v>
      </c>
      <c r="F190" s="0" t="n">
        <v>7</v>
      </c>
      <c r="G190" s="0" t="s">
        <v>553</v>
      </c>
      <c r="H190" s="0" t="s">
        <v>636</v>
      </c>
      <c r="I190" s="9" t="n">
        <f aca="false">VLOOKUP(B190,M:O,3,0)</f>
        <v>0.625</v>
      </c>
      <c r="J190" s="10" t="str">
        <f aca="false">VLOOKUP(B190,M:P,4,0)</f>
        <v>PONTERANICA VIA 8 MARZO13</v>
      </c>
    </row>
    <row r="191" customFormat="false" ht="12" hidden="false" customHeight="true" outlineLevel="0" collapsed="false">
      <c r="A191" s="13" t="n">
        <v>46102</v>
      </c>
      <c r="B191" s="0" t="s">
        <v>606</v>
      </c>
      <c r="C191" s="0" t="s">
        <v>600</v>
      </c>
      <c r="D191" s="0" t="s">
        <v>552</v>
      </c>
      <c r="E191" s="0" t="s">
        <v>635</v>
      </c>
      <c r="F191" s="0" t="n">
        <v>7</v>
      </c>
      <c r="G191" s="0" t="s">
        <v>553</v>
      </c>
      <c r="H191" s="0" t="s">
        <v>636</v>
      </c>
      <c r="I191" s="9" t="n">
        <f aca="false">VLOOKUP(B191,M:O,3,0)</f>
        <v>0.65625</v>
      </c>
      <c r="J191" s="10" t="str">
        <f aca="false">VLOOKUP(B191,M:P,4,0)</f>
        <v>ALBEGNO FRAZ. TREVIOLO PIAZZA DELLA CONCILIAZIONE</v>
      </c>
    </row>
    <row r="192" customFormat="false" ht="12" hidden="false" customHeight="true" outlineLevel="0" collapsed="false">
      <c r="A192" s="13" t="n">
        <v>46109</v>
      </c>
      <c r="B192" s="0" t="s">
        <v>602</v>
      </c>
      <c r="C192" s="0" t="s">
        <v>440</v>
      </c>
      <c r="D192" s="0" t="s">
        <v>552</v>
      </c>
      <c r="E192" s="0" t="s">
        <v>635</v>
      </c>
      <c r="F192" s="0" t="n">
        <v>8</v>
      </c>
      <c r="G192" s="0" t="s">
        <v>553</v>
      </c>
      <c r="H192" s="0" t="s">
        <v>636</v>
      </c>
      <c r="I192" s="9" t="n">
        <f aca="false">VLOOKUP(B192,M:O,3,0)</f>
        <v>0.625</v>
      </c>
      <c r="J192" s="10" t="str">
        <f aca="false">VLOOKUP(B192,M:P,4,0)</f>
        <v>BERBENNO VIA STOPPANI114</v>
      </c>
    </row>
    <row r="193" customFormat="false" ht="12" hidden="false" customHeight="true" outlineLevel="0" collapsed="false">
      <c r="A193" s="13" t="n">
        <v>46109</v>
      </c>
      <c r="B193" s="0" t="s">
        <v>596</v>
      </c>
      <c r="C193" s="0" t="s">
        <v>608</v>
      </c>
      <c r="D193" s="0" t="s">
        <v>552</v>
      </c>
      <c r="E193" s="0" t="s">
        <v>635</v>
      </c>
      <c r="F193" s="0" t="n">
        <v>8</v>
      </c>
      <c r="G193" s="0" t="s">
        <v>553</v>
      </c>
      <c r="H193" s="0" t="s">
        <v>636</v>
      </c>
      <c r="I193" s="9" t="n">
        <f aca="false">VLOOKUP(B193,M:O,3,0)</f>
        <v>0.625</v>
      </c>
      <c r="J193" s="10" t="str">
        <f aca="false">VLOOKUP(B193,M:P,4,0)</f>
        <v>ALME' VIA OLIMPIA8</v>
      </c>
    </row>
    <row r="194" customFormat="false" ht="12" hidden="false" customHeight="true" outlineLevel="0" collapsed="false">
      <c r="A194" s="13" t="n">
        <v>46109</v>
      </c>
      <c r="B194" s="0" t="s">
        <v>600</v>
      </c>
      <c r="C194" s="0" t="s">
        <v>604</v>
      </c>
      <c r="D194" s="0" t="s">
        <v>552</v>
      </c>
      <c r="E194" s="0" t="s">
        <v>635</v>
      </c>
      <c r="F194" s="0" t="n">
        <v>8</v>
      </c>
      <c r="G194" s="0" t="s">
        <v>553</v>
      </c>
      <c r="H194" s="0" t="s">
        <v>636</v>
      </c>
      <c r="I194" s="9" t="n">
        <f aca="false">VLOOKUP(B194,M:O,3,0)</f>
        <v>0.645833333333333</v>
      </c>
      <c r="J194" s="10" t="str">
        <f aca="false">VLOOKUP(B194,M:P,4,0)</f>
        <v>CARVICO VIA PEDRAZZI</v>
      </c>
    </row>
    <row r="195" customFormat="false" ht="12" hidden="false" customHeight="true" outlineLevel="0" collapsed="false">
      <c r="A195" s="13" t="n">
        <v>46109</v>
      </c>
      <c r="B195" s="0" t="s">
        <v>601</v>
      </c>
      <c r="C195" s="0" t="s">
        <v>606</v>
      </c>
      <c r="D195" s="0" t="s">
        <v>552</v>
      </c>
      <c r="E195" s="0" t="s">
        <v>635</v>
      </c>
      <c r="F195" s="0" t="n">
        <v>8</v>
      </c>
      <c r="G195" s="0" t="s">
        <v>553</v>
      </c>
      <c r="H195" s="0" t="s">
        <v>636</v>
      </c>
      <c r="I195" s="9" t="n">
        <f aca="false">VLOOKUP(B195,M:O,3,0)</f>
        <v>0.59375</v>
      </c>
      <c r="J195" s="10" t="str">
        <f aca="false">VLOOKUP(B195,M:P,4,0)</f>
        <v>MAPELLO VIA DEL LAZZARINO 1</v>
      </c>
    </row>
    <row r="196" customFormat="false" ht="12" hidden="false" customHeight="true" outlineLevel="0" collapsed="false">
      <c r="A196" s="13" t="n">
        <v>46123</v>
      </c>
      <c r="B196" s="0" t="s">
        <v>440</v>
      </c>
      <c r="C196" s="0" t="s">
        <v>600</v>
      </c>
      <c r="D196" s="0" t="s">
        <v>552</v>
      </c>
      <c r="E196" s="0" t="s">
        <v>635</v>
      </c>
      <c r="F196" s="0" t="n">
        <v>9</v>
      </c>
      <c r="G196" s="0" t="s">
        <v>553</v>
      </c>
      <c r="H196" s="0" t="s">
        <v>636</v>
      </c>
      <c r="I196" s="9" t="n">
        <f aca="false">VLOOKUP(B196,M:O,3,0)</f>
        <v>0.625</v>
      </c>
      <c r="J196" s="10" t="str">
        <f aca="false">VLOOKUP(B196,M:P,4,0)</f>
        <v>CISANO BERGAMASCO VIA CA' DE' VOLPI N°7</v>
      </c>
    </row>
    <row r="197" customFormat="false" ht="12" hidden="false" customHeight="true" outlineLevel="0" collapsed="false">
      <c r="A197" s="13" t="n">
        <v>46123</v>
      </c>
      <c r="B197" s="0" t="s">
        <v>598</v>
      </c>
      <c r="C197" s="0" t="s">
        <v>596</v>
      </c>
      <c r="D197" s="0" t="s">
        <v>552</v>
      </c>
      <c r="E197" s="0" t="s">
        <v>635</v>
      </c>
      <c r="F197" s="0" t="n">
        <v>9</v>
      </c>
      <c r="G197" s="0" t="s">
        <v>553</v>
      </c>
      <c r="H197" s="0" t="s">
        <v>636</v>
      </c>
      <c r="I197" s="9" t="n">
        <f aca="false">VLOOKUP(B197,M:O,3,0)</f>
        <v>0.65625</v>
      </c>
      <c r="J197" s="10" t="str">
        <f aca="false">VLOOKUP(B197,M:P,4,0)</f>
        <v>LALLIO VIA EVARISTO BASCHENIS</v>
      </c>
    </row>
    <row r="198" customFormat="false" ht="12" hidden="false" customHeight="true" outlineLevel="0" collapsed="false">
      <c r="A198" s="13" t="n">
        <v>46123</v>
      </c>
      <c r="B198" s="0" t="s">
        <v>604</v>
      </c>
      <c r="C198" s="0" t="s">
        <v>601</v>
      </c>
      <c r="D198" s="0" t="s">
        <v>552</v>
      </c>
      <c r="E198" s="0" t="s">
        <v>635</v>
      </c>
      <c r="F198" s="0" t="n">
        <v>9</v>
      </c>
      <c r="G198" s="0" t="s">
        <v>553</v>
      </c>
      <c r="H198" s="0" t="s">
        <v>636</v>
      </c>
      <c r="I198" s="9" t="n">
        <f aca="false">VLOOKUP(B198,M:O,3,0)</f>
        <v>0.625</v>
      </c>
      <c r="J198" s="10" t="str">
        <f aca="false">VLOOKUP(B198,M:P,4,0)</f>
        <v>PONTERANICA VIA 8 MARZO13</v>
      </c>
    </row>
    <row r="199" customFormat="false" ht="12" hidden="false" customHeight="true" outlineLevel="0" collapsed="false">
      <c r="A199" s="13" t="n">
        <v>46123</v>
      </c>
      <c r="B199" s="0" t="s">
        <v>608</v>
      </c>
      <c r="C199" s="0" t="s">
        <v>602</v>
      </c>
      <c r="D199" s="0" t="s">
        <v>552</v>
      </c>
      <c r="E199" s="0" t="s">
        <v>635</v>
      </c>
      <c r="F199" s="0" t="n">
        <v>9</v>
      </c>
      <c r="G199" s="0" t="s">
        <v>553</v>
      </c>
      <c r="H199" s="0" t="s">
        <v>636</v>
      </c>
      <c r="I199" s="9" t="n">
        <f aca="false">VLOOKUP(B199,M:O,3,0)</f>
        <v>0.604166666666667</v>
      </c>
      <c r="J199" s="10" t="str">
        <f aca="false">VLOOKUP(B199,M:P,4,0)</f>
        <v>ZOGNO VIA CAMANCHE SNC - CAMANGHE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80"/>
  <sheetViews>
    <sheetView showFormulas="false" showGridLines="true" showRowColHeaders="true" showZeros="true" rightToLeft="false" tabSelected="false" showOutlineSymbols="true" defaultGridColor="true" view="normal" topLeftCell="C55" colorId="64" zoomScale="85" zoomScaleNormal="85" zoomScalePageLayoutView="100" workbookViewId="0">
      <selection pane="topLeft" activeCell="K65" activeCellId="0" sqref="K65"/>
    </sheetView>
  </sheetViews>
  <sheetFormatPr defaultColWidth="10.54296875" defaultRowHeight="12.5" zeroHeight="false" outlineLevelRow="0" outlineLevelCol="0"/>
  <cols>
    <col collapsed="false" customWidth="true" hidden="false" outlineLevel="0" max="1" min="1" style="0" width="9.91"/>
    <col collapsed="false" customWidth="true" hidden="false" outlineLevel="0" max="3" min="2" style="0" width="31.01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0" width="5.91"/>
    <col collapsed="false" customWidth="true" hidden="false" outlineLevel="0" max="10" min="10" style="0" width="52.18"/>
    <col collapsed="false" customWidth="true" hidden="false" outlineLevel="0" max="11" min="11" style="0" width="1.46"/>
    <col collapsed="false" customWidth="true" hidden="false" outlineLevel="0" max="13" min="13" style="0" width="31.01"/>
    <col collapsed="false" customWidth="true" hidden="false" outlineLevel="0" max="14" min="14" style="0" width="5.91"/>
    <col collapsed="false" customWidth="true" hidden="false" outlineLevel="0" max="15" min="15" style="0" width="10.27"/>
    <col collapsed="false" customWidth="true" hidden="false" outlineLevel="0" max="16" min="16" style="0" width="52.18"/>
  </cols>
  <sheetData>
    <row r="1" customFormat="false" ht="12.5" hidden="false" customHeight="false" outlineLevel="0" collapsed="false">
      <c r="A1" s="0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8" t="s">
        <v>5</v>
      </c>
      <c r="J1" s="0" t="s">
        <v>6</v>
      </c>
      <c r="M1" s="0" t="s">
        <v>547</v>
      </c>
      <c r="N1" s="0" t="s">
        <v>548</v>
      </c>
      <c r="O1" s="14" t="s">
        <v>549</v>
      </c>
      <c r="P1" s="0" t="s">
        <v>550</v>
      </c>
    </row>
    <row r="2" customFormat="false" ht="12.5" hidden="false" customHeight="false" outlineLevel="0" collapsed="false">
      <c r="A2" s="5" t="n">
        <v>46060</v>
      </c>
      <c r="B2" s="0" t="s">
        <v>341</v>
      </c>
      <c r="C2" s="0" t="s">
        <v>363</v>
      </c>
      <c r="D2" s="0" t="s">
        <v>637</v>
      </c>
      <c r="E2" s="0" t="s">
        <v>47</v>
      </c>
      <c r="F2" s="0" t="n">
        <v>1</v>
      </c>
      <c r="G2" s="0" t="s">
        <v>553</v>
      </c>
      <c r="H2" s="0" t="s">
        <v>290</v>
      </c>
      <c r="I2" s="9" t="str">
        <f aca="false">VLOOKUP(B2,M:O,3,0)</f>
        <v>16:00</v>
      </c>
      <c r="J2" s="10" t="str">
        <f aca="false">VLOOKUP(B2,M:P,4,0)</f>
        <v>PONTE SAN PIETRO ZONA CLINICA VIA XXIV MAGGIO </v>
      </c>
      <c r="M2" s="0" t="s">
        <v>341</v>
      </c>
      <c r="N2" s="0" t="s">
        <v>638</v>
      </c>
      <c r="O2" s="15" t="s">
        <v>630</v>
      </c>
      <c r="P2" s="0" t="s">
        <v>639</v>
      </c>
    </row>
    <row r="3" customFormat="false" ht="12.5" hidden="false" customHeight="false" outlineLevel="0" collapsed="false">
      <c r="A3" s="5" t="n">
        <v>46061</v>
      </c>
      <c r="B3" s="0" t="s">
        <v>345</v>
      </c>
      <c r="C3" s="0" t="s">
        <v>351</v>
      </c>
      <c r="D3" s="0" t="s">
        <v>637</v>
      </c>
      <c r="E3" s="0" t="s">
        <v>47</v>
      </c>
      <c r="F3" s="0" t="n">
        <v>1</v>
      </c>
      <c r="G3" s="0" t="s">
        <v>553</v>
      </c>
      <c r="H3" s="0" t="s">
        <v>290</v>
      </c>
      <c r="I3" s="9" t="str">
        <f aca="false">VLOOKUP(B3,M:O,3,0)</f>
        <v>14:30</v>
      </c>
      <c r="J3" s="10" t="str">
        <f aca="false">VLOOKUP(B3,M:P,4,0)</f>
        <v>BREMBATE VIA ORATORIO 20 </v>
      </c>
      <c r="M3" s="0" t="s">
        <v>345</v>
      </c>
      <c r="N3" s="0" t="s">
        <v>638</v>
      </c>
      <c r="O3" s="15" t="s">
        <v>31</v>
      </c>
      <c r="P3" s="0" t="s">
        <v>640</v>
      </c>
    </row>
    <row r="4" customFormat="false" ht="12.5" hidden="false" customHeight="false" outlineLevel="0" collapsed="false">
      <c r="A4" s="5" t="n">
        <v>46060</v>
      </c>
      <c r="B4" s="0" t="s">
        <v>377</v>
      </c>
      <c r="C4" s="0" t="s">
        <v>362</v>
      </c>
      <c r="D4" s="0" t="s">
        <v>637</v>
      </c>
      <c r="E4" s="0" t="s">
        <v>47</v>
      </c>
      <c r="F4" s="0" t="n">
        <v>1</v>
      </c>
      <c r="G4" s="0" t="s">
        <v>553</v>
      </c>
      <c r="H4" s="0" t="s">
        <v>290</v>
      </c>
      <c r="I4" s="9" t="str">
        <f aca="false">VLOOKUP(B4,M:O,3,0)</f>
        <v>14:00</v>
      </c>
      <c r="J4" s="10" t="str">
        <f aca="false">VLOOKUP(B4,M:P,4,0)</f>
        <v>BRUSAPORTO VIA BELVEDERE 1 </v>
      </c>
      <c r="M4" s="0" t="s">
        <v>377</v>
      </c>
      <c r="N4" s="0" t="s">
        <v>638</v>
      </c>
      <c r="O4" s="15" t="s">
        <v>621</v>
      </c>
      <c r="P4" s="0" t="s">
        <v>641</v>
      </c>
    </row>
    <row r="5" customFormat="false" ht="12.5" hidden="false" customHeight="false" outlineLevel="0" collapsed="false">
      <c r="A5" s="5" t="n">
        <v>46060</v>
      </c>
      <c r="B5" s="0" t="s">
        <v>372</v>
      </c>
      <c r="C5" s="0" t="s">
        <v>354</v>
      </c>
      <c r="D5" s="0" t="s">
        <v>637</v>
      </c>
      <c r="E5" s="0" t="s">
        <v>47</v>
      </c>
      <c r="F5" s="0" t="n">
        <v>1</v>
      </c>
      <c r="G5" s="0" t="s">
        <v>553</v>
      </c>
      <c r="H5" s="0" t="s">
        <v>290</v>
      </c>
      <c r="I5" s="9" t="str">
        <f aca="false">VLOOKUP(B5,M:O,3,0)</f>
        <v>14:30</v>
      </c>
      <c r="J5" s="10" t="str">
        <f aca="false">VLOOKUP(B5,M:P,4,0)</f>
        <v>SCANZOROSCIATE VIA POLCAREZZO 2 </v>
      </c>
      <c r="M5" s="0" t="s">
        <v>372</v>
      </c>
      <c r="N5" s="0" t="s">
        <v>638</v>
      </c>
      <c r="O5" s="15" t="s">
        <v>478</v>
      </c>
      <c r="P5" s="0" t="s">
        <v>642</v>
      </c>
    </row>
    <row r="6" customFormat="false" ht="12.5" hidden="false" customHeight="false" outlineLevel="0" collapsed="false">
      <c r="A6" s="5" t="n">
        <v>46060</v>
      </c>
      <c r="B6" s="0" t="s">
        <v>375</v>
      </c>
      <c r="C6" s="0" t="s">
        <v>367</v>
      </c>
      <c r="D6" s="0" t="s">
        <v>637</v>
      </c>
      <c r="E6" s="0" t="s">
        <v>47</v>
      </c>
      <c r="F6" s="0" t="n">
        <v>1</v>
      </c>
      <c r="G6" s="0" t="s">
        <v>553</v>
      </c>
      <c r="H6" s="0" t="s">
        <v>290</v>
      </c>
      <c r="I6" s="9" t="str">
        <f aca="false">VLOOKUP(B6,M:O,3,0)</f>
        <v>14:30</v>
      </c>
      <c r="J6" s="10" t="str">
        <f aca="false">VLOOKUP(B6,M:P,4,0)</f>
        <v>TREZZO SULL'ADDA VIA ROCCA 19 </v>
      </c>
      <c r="M6" s="0" t="s">
        <v>375</v>
      </c>
      <c r="N6" s="0" t="s">
        <v>638</v>
      </c>
      <c r="O6" s="15" t="s">
        <v>478</v>
      </c>
      <c r="P6" s="0" t="s">
        <v>643</v>
      </c>
    </row>
    <row r="7" customFormat="false" ht="12.5" hidden="false" customHeight="false" outlineLevel="0" collapsed="false">
      <c r="A7" s="5" t="n">
        <v>46067</v>
      </c>
      <c r="B7" s="0" t="s">
        <v>367</v>
      </c>
      <c r="C7" s="0" t="s">
        <v>372</v>
      </c>
      <c r="D7" s="0" t="s">
        <v>637</v>
      </c>
      <c r="E7" s="0" t="s">
        <v>47</v>
      </c>
      <c r="F7" s="0" t="n">
        <v>2</v>
      </c>
      <c r="G7" s="0" t="s">
        <v>553</v>
      </c>
      <c r="H7" s="0" t="s">
        <v>290</v>
      </c>
      <c r="I7" s="9" t="str">
        <f aca="false">VLOOKUP(B7,M:O,3,0)</f>
        <v>14:00</v>
      </c>
      <c r="J7" s="10" t="str">
        <f aca="false">VLOOKUP(B7,M:P,4,0)</f>
        <v>ZANICA VIA COMUN NUOVO 26-28 </v>
      </c>
      <c r="M7" s="0" t="s">
        <v>367</v>
      </c>
      <c r="N7" s="0" t="s">
        <v>638</v>
      </c>
      <c r="O7" s="15" t="s">
        <v>621</v>
      </c>
      <c r="P7" s="0" t="s">
        <v>644</v>
      </c>
    </row>
    <row r="8" customFormat="false" ht="12.5" hidden="false" customHeight="false" outlineLevel="0" collapsed="false">
      <c r="A8" s="5" t="n">
        <v>46067</v>
      </c>
      <c r="B8" s="0" t="s">
        <v>363</v>
      </c>
      <c r="C8" s="0" t="s">
        <v>377</v>
      </c>
      <c r="D8" s="0" t="s">
        <v>637</v>
      </c>
      <c r="E8" s="0" t="s">
        <v>47</v>
      </c>
      <c r="F8" s="0" t="n">
        <v>2</v>
      </c>
      <c r="G8" s="0" t="s">
        <v>553</v>
      </c>
      <c r="H8" s="0" t="s">
        <v>290</v>
      </c>
      <c r="I8" s="9" t="str">
        <f aca="false">VLOOKUP(B8,M:O,3,0)</f>
        <v>14:15</v>
      </c>
      <c r="J8" s="10" t="str">
        <f aca="false">VLOOKUP(B8,M:P,4,0)</f>
        <v>CARAVAGGIO VIA G.CASTOLDI 11 </v>
      </c>
      <c r="M8" s="0" t="s">
        <v>363</v>
      </c>
      <c r="N8" s="0" t="s">
        <v>638</v>
      </c>
      <c r="O8" s="15" t="s">
        <v>633</v>
      </c>
      <c r="P8" s="0" t="s">
        <v>645</v>
      </c>
    </row>
    <row r="9" customFormat="false" ht="12.5" hidden="false" customHeight="false" outlineLevel="0" collapsed="false">
      <c r="A9" s="5" t="n">
        <v>46067</v>
      </c>
      <c r="B9" s="0" t="s">
        <v>351</v>
      </c>
      <c r="C9" s="0" t="s">
        <v>375</v>
      </c>
      <c r="D9" s="0" t="s">
        <v>637</v>
      </c>
      <c r="E9" s="0" t="s">
        <v>47</v>
      </c>
      <c r="F9" s="0" t="n">
        <v>2</v>
      </c>
      <c r="G9" s="0" t="s">
        <v>553</v>
      </c>
      <c r="H9" s="0" t="s">
        <v>290</v>
      </c>
      <c r="I9" s="9" t="str">
        <f aca="false">VLOOKUP(B9,M:O,3,0)</f>
        <v>14:30</v>
      </c>
      <c r="J9" s="10" t="str">
        <f aca="false">VLOOKUP(B9,M:P,4,0)</f>
        <v>SARNICO VIA OLIMPIA 4 </v>
      </c>
      <c r="M9" s="0" t="s">
        <v>351</v>
      </c>
      <c r="N9" s="0" t="s">
        <v>638</v>
      </c>
      <c r="O9" s="15" t="s">
        <v>478</v>
      </c>
      <c r="P9" s="0" t="s">
        <v>646</v>
      </c>
    </row>
    <row r="10" customFormat="false" ht="12.5" hidden="false" customHeight="false" outlineLevel="0" collapsed="false">
      <c r="A10" s="5" t="n">
        <v>46067</v>
      </c>
      <c r="B10" s="0" t="s">
        <v>354</v>
      </c>
      <c r="C10" s="0" t="s">
        <v>341</v>
      </c>
      <c r="D10" s="0" t="s">
        <v>637</v>
      </c>
      <c r="E10" s="0" t="s">
        <v>47</v>
      </c>
      <c r="F10" s="0" t="n">
        <v>2</v>
      </c>
      <c r="G10" s="0" t="s">
        <v>553</v>
      </c>
      <c r="H10" s="0" t="s">
        <v>290</v>
      </c>
      <c r="I10" s="9" t="str">
        <f aca="false">VLOOKUP(B10,M:O,3,0)</f>
        <v>17:00</v>
      </c>
      <c r="J10" s="10" t="str">
        <f aca="false">VLOOKUP(B10,M:P,4,0)</f>
        <v>VILLA D'ALME' VIA RONCO BASSO 15 </v>
      </c>
      <c r="M10" s="0" t="s">
        <v>354</v>
      </c>
      <c r="N10" s="0" t="s">
        <v>638</v>
      </c>
      <c r="O10" s="15" t="s">
        <v>647</v>
      </c>
      <c r="P10" s="0" t="s">
        <v>648</v>
      </c>
    </row>
    <row r="11" customFormat="false" ht="12.5" hidden="false" customHeight="false" outlineLevel="0" collapsed="false">
      <c r="A11" s="5" t="n">
        <v>46067</v>
      </c>
      <c r="B11" s="0" t="s">
        <v>362</v>
      </c>
      <c r="C11" s="0" t="s">
        <v>345</v>
      </c>
      <c r="D11" s="0" t="s">
        <v>637</v>
      </c>
      <c r="E11" s="0" t="s">
        <v>47</v>
      </c>
      <c r="F11" s="0" t="n">
        <v>2</v>
      </c>
      <c r="G11" s="0" t="s">
        <v>553</v>
      </c>
      <c r="H11" s="0" t="s">
        <v>290</v>
      </c>
      <c r="I11" s="9" t="str">
        <f aca="false">VLOOKUP(B11,M:O,3,0)</f>
        <v>16:00</v>
      </c>
      <c r="J11" s="10" t="str">
        <f aca="false">VLOOKUP(B11,M:P,4,0)</f>
        <v>CISERANO VIA MAZZINI 13 </v>
      </c>
      <c r="M11" s="0" t="s">
        <v>362</v>
      </c>
      <c r="N11" s="0" t="s">
        <v>638</v>
      </c>
      <c r="O11" s="15" t="s">
        <v>630</v>
      </c>
      <c r="P11" s="0" t="s">
        <v>649</v>
      </c>
    </row>
    <row r="12" customFormat="false" ht="12.5" hidden="false" customHeight="false" outlineLevel="0" collapsed="false">
      <c r="A12" s="5" t="n">
        <v>46074</v>
      </c>
      <c r="B12" s="0" t="s">
        <v>367</v>
      </c>
      <c r="C12" s="0" t="s">
        <v>354</v>
      </c>
      <c r="D12" s="0" t="s">
        <v>637</v>
      </c>
      <c r="E12" s="0" t="s">
        <v>47</v>
      </c>
      <c r="F12" s="0" t="n">
        <v>3</v>
      </c>
      <c r="G12" s="0" t="s">
        <v>553</v>
      </c>
      <c r="H12" s="0" t="s">
        <v>290</v>
      </c>
      <c r="I12" s="9" t="str">
        <f aca="false">VLOOKUP(B12,M:O,3,0)</f>
        <v>14:00</v>
      </c>
      <c r="J12" s="10" t="str">
        <f aca="false">VLOOKUP(B12,M:P,4,0)</f>
        <v>ZANICA VIA COMUN NUOVO 26-28 </v>
      </c>
      <c r="M12" s="0" t="s">
        <v>650</v>
      </c>
      <c r="N12" s="0" t="s">
        <v>651</v>
      </c>
      <c r="O12" s="16" t="s">
        <v>478</v>
      </c>
      <c r="P12" s="0" t="s">
        <v>652</v>
      </c>
    </row>
    <row r="13" customFormat="false" ht="12.5" hidden="false" customHeight="false" outlineLevel="0" collapsed="false">
      <c r="A13" s="5" t="n">
        <v>46075</v>
      </c>
      <c r="B13" s="0" t="s">
        <v>345</v>
      </c>
      <c r="C13" s="0" t="s">
        <v>363</v>
      </c>
      <c r="D13" s="0" t="s">
        <v>637</v>
      </c>
      <c r="E13" s="0" t="s">
        <v>47</v>
      </c>
      <c r="F13" s="0" t="n">
        <v>3</v>
      </c>
      <c r="G13" s="0" t="s">
        <v>553</v>
      </c>
      <c r="H13" s="0" t="s">
        <v>290</v>
      </c>
      <c r="I13" s="9" t="str">
        <f aca="false">VLOOKUP(B13,M:O,3,0)</f>
        <v>14:30</v>
      </c>
      <c r="J13" s="10" t="str">
        <f aca="false">VLOOKUP(B13,M:P,4,0)</f>
        <v>BREMBATE VIA ORATORIO 20 </v>
      </c>
      <c r="M13" s="0" t="s">
        <v>440</v>
      </c>
      <c r="N13" s="0" t="s">
        <v>651</v>
      </c>
      <c r="O13" s="16" t="s">
        <v>481</v>
      </c>
      <c r="P13" s="0" t="s">
        <v>653</v>
      </c>
    </row>
    <row r="14" customFormat="false" ht="12.5" hidden="false" customHeight="false" outlineLevel="0" collapsed="false">
      <c r="A14" s="5" t="n">
        <v>46074</v>
      </c>
      <c r="B14" s="0" t="s">
        <v>377</v>
      </c>
      <c r="C14" s="0" t="s">
        <v>341</v>
      </c>
      <c r="D14" s="0" t="s">
        <v>637</v>
      </c>
      <c r="E14" s="0" t="s">
        <v>47</v>
      </c>
      <c r="F14" s="0" t="n">
        <v>3</v>
      </c>
      <c r="G14" s="0" t="s">
        <v>553</v>
      </c>
      <c r="H14" s="0" t="s">
        <v>290</v>
      </c>
      <c r="I14" s="9" t="str">
        <f aca="false">VLOOKUP(B14,M:O,3,0)</f>
        <v>14:00</v>
      </c>
      <c r="J14" s="10" t="str">
        <f aca="false">VLOOKUP(B14,M:P,4,0)</f>
        <v>BRUSAPORTO VIA BELVEDERE 1 </v>
      </c>
      <c r="M14" s="0" t="s">
        <v>654</v>
      </c>
      <c r="N14" s="0" t="s">
        <v>651</v>
      </c>
      <c r="O14" s="16" t="s">
        <v>655</v>
      </c>
      <c r="P14" s="0" t="s">
        <v>656</v>
      </c>
    </row>
    <row r="15" customFormat="false" ht="12.5" hidden="false" customHeight="false" outlineLevel="0" collapsed="false">
      <c r="A15" s="5" t="n">
        <v>46074</v>
      </c>
      <c r="B15" s="0" t="s">
        <v>372</v>
      </c>
      <c r="C15" s="0" t="s">
        <v>351</v>
      </c>
      <c r="D15" s="0" t="s">
        <v>637</v>
      </c>
      <c r="E15" s="0" t="s">
        <v>47</v>
      </c>
      <c r="F15" s="0" t="n">
        <v>3</v>
      </c>
      <c r="G15" s="0" t="s">
        <v>553</v>
      </c>
      <c r="H15" s="0" t="s">
        <v>290</v>
      </c>
      <c r="I15" s="9" t="str">
        <f aca="false">VLOOKUP(B15,M:O,3,0)</f>
        <v>14:30</v>
      </c>
      <c r="J15" s="10" t="str">
        <f aca="false">VLOOKUP(B15,M:P,4,0)</f>
        <v>SCANZOROSCIATE VIA POLCAREZZO 2 </v>
      </c>
      <c r="M15" s="0" t="s">
        <v>657</v>
      </c>
      <c r="N15" s="0" t="s">
        <v>651</v>
      </c>
      <c r="O15" s="16" t="s">
        <v>621</v>
      </c>
      <c r="P15" s="0" t="s">
        <v>658</v>
      </c>
    </row>
    <row r="16" customFormat="false" ht="12.5" hidden="false" customHeight="false" outlineLevel="0" collapsed="false">
      <c r="A16" s="5" t="n">
        <v>46074</v>
      </c>
      <c r="B16" s="0" t="s">
        <v>375</v>
      </c>
      <c r="C16" s="0" t="s">
        <v>362</v>
      </c>
      <c r="D16" s="0" t="s">
        <v>637</v>
      </c>
      <c r="E16" s="0" t="s">
        <v>47</v>
      </c>
      <c r="F16" s="0" t="n">
        <v>3</v>
      </c>
      <c r="G16" s="0" t="s">
        <v>553</v>
      </c>
      <c r="H16" s="0" t="s">
        <v>290</v>
      </c>
      <c r="I16" s="9" t="str">
        <f aca="false">VLOOKUP(B16,M:O,3,0)</f>
        <v>14:30</v>
      </c>
      <c r="J16" s="10" t="str">
        <f aca="false">VLOOKUP(B16,M:P,4,0)</f>
        <v>TREZZO SULL'ADDA VIA ROCCA 19 </v>
      </c>
      <c r="M16" s="0" t="s">
        <v>659</v>
      </c>
      <c r="N16" s="0" t="s">
        <v>651</v>
      </c>
      <c r="O16" s="16" t="s">
        <v>478</v>
      </c>
      <c r="P16" s="0" t="s">
        <v>660</v>
      </c>
    </row>
    <row r="17" customFormat="false" ht="12.5" hidden="false" customHeight="false" outlineLevel="0" collapsed="false">
      <c r="A17" s="5" t="n">
        <v>46081</v>
      </c>
      <c r="B17" s="0" t="s">
        <v>341</v>
      </c>
      <c r="C17" s="0" t="s">
        <v>345</v>
      </c>
      <c r="D17" s="0" t="s">
        <v>637</v>
      </c>
      <c r="E17" s="0" t="s">
        <v>47</v>
      </c>
      <c r="F17" s="0" t="n">
        <v>4</v>
      </c>
      <c r="G17" s="0" t="s">
        <v>553</v>
      </c>
      <c r="H17" s="0" t="s">
        <v>290</v>
      </c>
      <c r="I17" s="9" t="str">
        <f aca="false">VLOOKUP(B17,M:O,3,0)</f>
        <v>16:00</v>
      </c>
      <c r="J17" s="10" t="str">
        <f aca="false">VLOOKUP(B17,M:P,4,0)</f>
        <v>PONTE SAN PIETRO ZONA CLINICA VIA XXIV MAGGIO </v>
      </c>
      <c r="M17" s="0" t="s">
        <v>328</v>
      </c>
      <c r="N17" s="0" t="s">
        <v>651</v>
      </c>
      <c r="O17" s="16" t="s">
        <v>630</v>
      </c>
      <c r="P17" s="0" t="s">
        <v>639</v>
      </c>
    </row>
    <row r="18" customFormat="false" ht="12.5" hidden="false" customHeight="false" outlineLevel="0" collapsed="false">
      <c r="A18" s="5" t="n">
        <v>46081</v>
      </c>
      <c r="B18" s="0" t="s">
        <v>363</v>
      </c>
      <c r="C18" s="0" t="s">
        <v>375</v>
      </c>
      <c r="D18" s="0" t="s">
        <v>637</v>
      </c>
      <c r="E18" s="0" t="s">
        <v>47</v>
      </c>
      <c r="F18" s="0" t="n">
        <v>4</v>
      </c>
      <c r="G18" s="0" t="s">
        <v>553</v>
      </c>
      <c r="H18" s="0" t="s">
        <v>290</v>
      </c>
      <c r="I18" s="9" t="str">
        <f aca="false">VLOOKUP(B18,M:O,3,0)</f>
        <v>14:15</v>
      </c>
      <c r="J18" s="10" t="str">
        <f aca="false">VLOOKUP(B18,M:P,4,0)</f>
        <v>CARAVAGGIO VIA G.CASTOLDI 11 </v>
      </c>
      <c r="M18" s="0" t="s">
        <v>661</v>
      </c>
      <c r="N18" s="0" t="s">
        <v>651</v>
      </c>
      <c r="O18" s="16" t="s">
        <v>478</v>
      </c>
      <c r="P18" s="0" t="s">
        <v>662</v>
      </c>
    </row>
    <row r="19" customFormat="false" ht="12.5" hidden="false" customHeight="false" outlineLevel="0" collapsed="false">
      <c r="A19" s="5" t="n">
        <v>46081</v>
      </c>
      <c r="B19" s="0" t="s">
        <v>351</v>
      </c>
      <c r="C19" s="0" t="s">
        <v>367</v>
      </c>
      <c r="D19" s="0" t="s">
        <v>637</v>
      </c>
      <c r="E19" s="0" t="s">
        <v>47</v>
      </c>
      <c r="F19" s="0" t="n">
        <v>4</v>
      </c>
      <c r="G19" s="0" t="s">
        <v>553</v>
      </c>
      <c r="H19" s="0" t="s">
        <v>290</v>
      </c>
      <c r="I19" s="9" t="str">
        <f aca="false">VLOOKUP(B19,M:O,3,0)</f>
        <v>14:30</v>
      </c>
      <c r="J19" s="10" t="str">
        <f aca="false">VLOOKUP(B19,M:P,4,0)</f>
        <v>SARNICO VIA OLIMPIA 4 </v>
      </c>
      <c r="M19" s="0" t="s">
        <v>663</v>
      </c>
      <c r="N19" s="0" t="s">
        <v>651</v>
      </c>
      <c r="O19" s="16" t="s">
        <v>478</v>
      </c>
      <c r="P19" s="0" t="s">
        <v>664</v>
      </c>
    </row>
    <row r="20" customFormat="false" ht="12.5" hidden="false" customHeight="false" outlineLevel="0" collapsed="false">
      <c r="A20" s="5" t="n">
        <v>46081</v>
      </c>
      <c r="B20" s="0" t="s">
        <v>354</v>
      </c>
      <c r="C20" s="0" t="s">
        <v>377</v>
      </c>
      <c r="D20" s="0" t="s">
        <v>637</v>
      </c>
      <c r="E20" s="0" t="s">
        <v>47</v>
      </c>
      <c r="F20" s="0" t="n">
        <v>4</v>
      </c>
      <c r="G20" s="0" t="s">
        <v>553</v>
      </c>
      <c r="H20" s="0" t="s">
        <v>290</v>
      </c>
      <c r="I20" s="9" t="str">
        <f aca="false">VLOOKUP(B20,M:O,3,0)</f>
        <v>17:00</v>
      </c>
      <c r="J20" s="10" t="str">
        <f aca="false">VLOOKUP(B20,M:P,4,0)</f>
        <v>VILLA D'ALME' VIA RONCO BASSO 15 </v>
      </c>
      <c r="M20" s="0" t="s">
        <v>665</v>
      </c>
      <c r="N20" s="0" t="s">
        <v>651</v>
      </c>
      <c r="O20" s="0" t="s">
        <v>478</v>
      </c>
      <c r="P20" s="0" t="s">
        <v>643</v>
      </c>
    </row>
    <row r="21" customFormat="false" ht="12.5" hidden="false" customHeight="false" outlineLevel="0" collapsed="false">
      <c r="A21" s="5" t="n">
        <v>46081</v>
      </c>
      <c r="B21" s="0" t="s">
        <v>362</v>
      </c>
      <c r="C21" s="0" t="s">
        <v>372</v>
      </c>
      <c r="D21" s="0" t="s">
        <v>637</v>
      </c>
      <c r="E21" s="0" t="s">
        <v>47</v>
      </c>
      <c r="F21" s="0" t="n">
        <v>4</v>
      </c>
      <c r="G21" s="0" t="s">
        <v>553</v>
      </c>
      <c r="H21" s="0" t="s">
        <v>290</v>
      </c>
      <c r="I21" s="9" t="str">
        <f aca="false">VLOOKUP(B21,M:O,3,0)</f>
        <v>16:00</v>
      </c>
      <c r="J21" s="10" t="str">
        <f aca="false">VLOOKUP(B21,M:P,4,0)</f>
        <v>CISERANO VIA MAZZINI 13 </v>
      </c>
      <c r="M21" s="0" t="s">
        <v>666</v>
      </c>
      <c r="N21" s="0" t="s">
        <v>651</v>
      </c>
      <c r="O21" s="0" t="s">
        <v>464</v>
      </c>
      <c r="P21" s="0" t="s">
        <v>667</v>
      </c>
    </row>
    <row r="22" customFormat="false" ht="12.5" hidden="false" customHeight="false" outlineLevel="0" collapsed="false">
      <c r="A22" s="5" t="n">
        <v>46088</v>
      </c>
      <c r="B22" s="0" t="s">
        <v>367</v>
      </c>
      <c r="C22" s="0" t="s">
        <v>362</v>
      </c>
      <c r="D22" s="0" t="s">
        <v>637</v>
      </c>
      <c r="E22" s="0" t="s">
        <v>47</v>
      </c>
      <c r="F22" s="0" t="n">
        <v>5</v>
      </c>
      <c r="G22" s="0" t="s">
        <v>553</v>
      </c>
      <c r="H22" s="0" t="s">
        <v>290</v>
      </c>
      <c r="I22" s="9" t="str">
        <f aca="false">VLOOKUP(B22,M:O,3,0)</f>
        <v>14:00</v>
      </c>
      <c r="J22" s="10" t="str">
        <f aca="false">VLOOKUP(B22,M:P,4,0)</f>
        <v>ZANICA VIA COMUN NUOVO 26-28 </v>
      </c>
      <c r="M22" s="0" t="s">
        <v>340</v>
      </c>
      <c r="N22" s="0" t="s">
        <v>668</v>
      </c>
      <c r="O22" s="0" t="s">
        <v>478</v>
      </c>
      <c r="P22" s="0" t="s">
        <v>669</v>
      </c>
    </row>
    <row r="23" customFormat="false" ht="12.5" hidden="false" customHeight="false" outlineLevel="0" collapsed="false">
      <c r="A23" s="5" t="n">
        <v>46089</v>
      </c>
      <c r="B23" s="0" t="s">
        <v>345</v>
      </c>
      <c r="C23" s="0" t="s">
        <v>377</v>
      </c>
      <c r="D23" s="0" t="s">
        <v>637</v>
      </c>
      <c r="E23" s="0" t="s">
        <v>47</v>
      </c>
      <c r="F23" s="0" t="n">
        <v>5</v>
      </c>
      <c r="G23" s="0" t="s">
        <v>553</v>
      </c>
      <c r="H23" s="0" t="s">
        <v>290</v>
      </c>
      <c r="I23" s="9" t="str">
        <f aca="false">VLOOKUP(B23,M:O,3,0)</f>
        <v>14:30</v>
      </c>
      <c r="J23" s="10" t="str">
        <f aca="false">VLOOKUP(B23,M:P,4,0)</f>
        <v>BREMBATE VIA ORATORIO 20 </v>
      </c>
      <c r="M23" s="0" t="s">
        <v>344</v>
      </c>
      <c r="N23" s="0" t="s">
        <v>668</v>
      </c>
      <c r="O23" s="0" t="s">
        <v>478</v>
      </c>
      <c r="P23" s="0" t="s">
        <v>670</v>
      </c>
    </row>
    <row r="24" customFormat="false" ht="12.5" hidden="false" customHeight="false" outlineLevel="0" collapsed="false">
      <c r="A24" s="5" t="n">
        <v>46088</v>
      </c>
      <c r="B24" s="0" t="s">
        <v>372</v>
      </c>
      <c r="C24" s="0" t="s">
        <v>363</v>
      </c>
      <c r="D24" s="0" t="s">
        <v>637</v>
      </c>
      <c r="E24" s="0" t="s">
        <v>47</v>
      </c>
      <c r="F24" s="0" t="n">
        <v>5</v>
      </c>
      <c r="G24" s="0" t="s">
        <v>553</v>
      </c>
      <c r="H24" s="0" t="s">
        <v>290</v>
      </c>
      <c r="I24" s="9" t="str">
        <f aca="false">VLOOKUP(B24,M:O,3,0)</f>
        <v>14:30</v>
      </c>
      <c r="J24" s="10" t="str">
        <f aca="false">VLOOKUP(B24,M:P,4,0)</f>
        <v>SCANZOROSCIATE VIA POLCAREZZO 2 </v>
      </c>
      <c r="M24" s="0" t="s">
        <v>671</v>
      </c>
      <c r="N24" s="0" t="s">
        <v>668</v>
      </c>
      <c r="O24" s="17" t="n">
        <v>0.447916666666667</v>
      </c>
      <c r="P24" s="0" t="s">
        <v>656</v>
      </c>
    </row>
    <row r="25" customFormat="false" ht="12.5" hidden="false" customHeight="false" outlineLevel="0" collapsed="false">
      <c r="A25" s="5" t="n">
        <v>46088</v>
      </c>
      <c r="B25" s="0" t="s">
        <v>375</v>
      </c>
      <c r="C25" s="0" t="s">
        <v>341</v>
      </c>
      <c r="D25" s="0" t="s">
        <v>637</v>
      </c>
      <c r="E25" s="0" t="s">
        <v>47</v>
      </c>
      <c r="F25" s="0" t="n">
        <v>5</v>
      </c>
      <c r="G25" s="0" t="s">
        <v>553</v>
      </c>
      <c r="H25" s="0" t="s">
        <v>290</v>
      </c>
      <c r="I25" s="9" t="str">
        <f aca="false">VLOOKUP(B25,M:O,3,0)</f>
        <v>14:30</v>
      </c>
      <c r="J25" s="10" t="str">
        <f aca="false">VLOOKUP(B25,M:P,4,0)</f>
        <v>TREZZO SULL'ADDA VIA ROCCA 19 </v>
      </c>
      <c r="M25" s="0" t="s">
        <v>672</v>
      </c>
      <c r="N25" s="0" t="s">
        <v>668</v>
      </c>
      <c r="O25" s="0" t="s">
        <v>478</v>
      </c>
      <c r="P25" s="0" t="s">
        <v>673</v>
      </c>
    </row>
    <row r="26" customFormat="false" ht="12.5" hidden="false" customHeight="false" outlineLevel="0" collapsed="false">
      <c r="A26" s="5" t="n">
        <v>46088</v>
      </c>
      <c r="B26" s="0" t="s">
        <v>351</v>
      </c>
      <c r="C26" s="0" t="s">
        <v>354</v>
      </c>
      <c r="D26" s="0" t="s">
        <v>637</v>
      </c>
      <c r="E26" s="0" t="s">
        <v>47</v>
      </c>
      <c r="F26" s="0" t="n">
        <v>5</v>
      </c>
      <c r="G26" s="0" t="s">
        <v>553</v>
      </c>
      <c r="H26" s="0" t="s">
        <v>290</v>
      </c>
      <c r="I26" s="9" t="str">
        <f aca="false">VLOOKUP(B26,M:O,3,0)</f>
        <v>14:30</v>
      </c>
      <c r="J26" s="10" t="str">
        <f aca="false">VLOOKUP(B26,M:P,4,0)</f>
        <v>SARNICO VIA OLIMPIA 4 </v>
      </c>
      <c r="M26" s="0" t="s">
        <v>348</v>
      </c>
      <c r="N26" s="0" t="s">
        <v>668</v>
      </c>
      <c r="O26" s="0" t="s">
        <v>478</v>
      </c>
      <c r="P26" s="0" t="s">
        <v>674</v>
      </c>
    </row>
    <row r="27" customFormat="false" ht="12.5" hidden="false" customHeight="false" outlineLevel="0" collapsed="false">
      <c r="A27" s="5" t="n">
        <v>46095</v>
      </c>
      <c r="B27" s="0" t="s">
        <v>341</v>
      </c>
      <c r="C27" s="0" t="s">
        <v>372</v>
      </c>
      <c r="D27" s="0" t="s">
        <v>637</v>
      </c>
      <c r="E27" s="0" t="s">
        <v>47</v>
      </c>
      <c r="F27" s="0" t="n">
        <v>6</v>
      </c>
      <c r="G27" s="0" t="s">
        <v>553</v>
      </c>
      <c r="H27" s="0" t="s">
        <v>290</v>
      </c>
      <c r="I27" s="9" t="str">
        <f aca="false">VLOOKUP(B27,M:O,3,0)</f>
        <v>16:00</v>
      </c>
      <c r="J27" s="10" t="str">
        <f aca="false">VLOOKUP(B27,M:P,4,0)</f>
        <v>PONTE SAN PIETRO ZONA CLINICA VIA XXIV MAGGIO </v>
      </c>
      <c r="M27" s="0" t="s">
        <v>387</v>
      </c>
      <c r="N27" s="0" t="s">
        <v>668</v>
      </c>
      <c r="O27" s="0" t="s">
        <v>633</v>
      </c>
      <c r="P27" s="0" t="s">
        <v>675</v>
      </c>
    </row>
    <row r="28" customFormat="false" ht="12.5" hidden="false" customHeight="false" outlineLevel="0" collapsed="false">
      <c r="A28" s="5" t="n">
        <v>46095</v>
      </c>
      <c r="B28" s="0" t="s">
        <v>377</v>
      </c>
      <c r="C28" s="0" t="s">
        <v>375</v>
      </c>
      <c r="D28" s="0" t="s">
        <v>637</v>
      </c>
      <c r="E28" s="0" t="s">
        <v>47</v>
      </c>
      <c r="F28" s="0" t="n">
        <v>6</v>
      </c>
      <c r="G28" s="0" t="s">
        <v>553</v>
      </c>
      <c r="H28" s="0" t="s">
        <v>290</v>
      </c>
      <c r="I28" s="9" t="str">
        <f aca="false">VLOOKUP(B28,M:O,3,0)</f>
        <v>14:00</v>
      </c>
      <c r="J28" s="10" t="str">
        <f aca="false">VLOOKUP(B28,M:P,4,0)</f>
        <v>BRUSAPORTO VIA BELVEDERE 1 </v>
      </c>
      <c r="M28" s="0" t="s">
        <v>676</v>
      </c>
      <c r="N28" s="0" t="s">
        <v>668</v>
      </c>
      <c r="O28" s="0" t="s">
        <v>468</v>
      </c>
      <c r="P28" s="0" t="s">
        <v>662</v>
      </c>
    </row>
    <row r="29" customFormat="false" ht="12.5" hidden="false" customHeight="false" outlineLevel="0" collapsed="false">
      <c r="A29" s="5" t="n">
        <v>46095</v>
      </c>
      <c r="B29" s="0" t="s">
        <v>363</v>
      </c>
      <c r="C29" s="0" t="s">
        <v>367</v>
      </c>
      <c r="D29" s="0" t="s">
        <v>637</v>
      </c>
      <c r="E29" s="0" t="s">
        <v>47</v>
      </c>
      <c r="F29" s="0" t="n">
        <v>6</v>
      </c>
      <c r="G29" s="0" t="s">
        <v>553</v>
      </c>
      <c r="H29" s="0" t="s">
        <v>290</v>
      </c>
      <c r="I29" s="9" t="str">
        <f aca="false">VLOOKUP(B29,M:O,3,0)</f>
        <v>14:15</v>
      </c>
      <c r="J29" s="10" t="str">
        <f aca="false">VLOOKUP(B29,M:P,4,0)</f>
        <v>CARAVAGGIO VIA G.CASTOLDI 11 </v>
      </c>
      <c r="M29" s="0" t="s">
        <v>677</v>
      </c>
      <c r="N29" s="0" t="s">
        <v>668</v>
      </c>
      <c r="O29" s="0" t="s">
        <v>464</v>
      </c>
      <c r="P29" s="0" t="s">
        <v>678</v>
      </c>
    </row>
    <row r="30" customFormat="false" ht="12.5" hidden="false" customHeight="false" outlineLevel="0" collapsed="false">
      <c r="A30" s="5" t="n">
        <v>46095</v>
      </c>
      <c r="B30" s="0" t="s">
        <v>354</v>
      </c>
      <c r="C30" s="0" t="s">
        <v>345</v>
      </c>
      <c r="D30" s="0" t="s">
        <v>637</v>
      </c>
      <c r="E30" s="0" t="s">
        <v>47</v>
      </c>
      <c r="F30" s="0" t="n">
        <v>6</v>
      </c>
      <c r="G30" s="0" t="s">
        <v>553</v>
      </c>
      <c r="H30" s="0" t="s">
        <v>290</v>
      </c>
      <c r="I30" s="9" t="str">
        <f aca="false">VLOOKUP(B30,M:O,3,0)</f>
        <v>17:00</v>
      </c>
      <c r="J30" s="10" t="str">
        <f aca="false">VLOOKUP(B30,M:P,4,0)</f>
        <v>VILLA D'ALME' VIA RONCO BASSO 15 </v>
      </c>
      <c r="M30" s="0" t="s">
        <v>679</v>
      </c>
      <c r="N30" s="0" t="s">
        <v>668</v>
      </c>
      <c r="O30" s="0" t="s">
        <v>680</v>
      </c>
      <c r="P30" s="0" t="s">
        <v>681</v>
      </c>
    </row>
    <row r="31" customFormat="false" ht="12.5" hidden="false" customHeight="false" outlineLevel="0" collapsed="false">
      <c r="A31" s="5" t="n">
        <v>46095</v>
      </c>
      <c r="B31" s="0" t="s">
        <v>362</v>
      </c>
      <c r="C31" s="0" t="s">
        <v>351</v>
      </c>
      <c r="D31" s="0" t="s">
        <v>637</v>
      </c>
      <c r="E31" s="0" t="s">
        <v>47</v>
      </c>
      <c r="F31" s="0" t="n">
        <v>6</v>
      </c>
      <c r="G31" s="0" t="s">
        <v>553</v>
      </c>
      <c r="H31" s="0" t="s">
        <v>290</v>
      </c>
      <c r="I31" s="9" t="str">
        <f aca="false">VLOOKUP(B31,M:O,3,0)</f>
        <v>16:00</v>
      </c>
      <c r="J31" s="10" t="str">
        <f aca="false">VLOOKUP(B31,M:P,4,0)</f>
        <v>CISERANO VIA MAZZINI 13 </v>
      </c>
      <c r="M31" s="0" t="s">
        <v>682</v>
      </c>
      <c r="N31" s="0" t="s">
        <v>668</v>
      </c>
      <c r="O31" s="0" t="s">
        <v>621</v>
      </c>
      <c r="P31" s="0" t="s">
        <v>683</v>
      </c>
    </row>
    <row r="32" customFormat="false" ht="12.5" hidden="false" customHeight="false" outlineLevel="0" collapsed="false">
      <c r="A32" s="5" t="n">
        <v>46102</v>
      </c>
      <c r="B32" s="0" t="s">
        <v>367</v>
      </c>
      <c r="C32" s="0" t="s">
        <v>341</v>
      </c>
      <c r="D32" s="0" t="s">
        <v>637</v>
      </c>
      <c r="E32" s="0" t="s">
        <v>47</v>
      </c>
      <c r="F32" s="0" t="n">
        <v>7</v>
      </c>
      <c r="G32" s="0" t="s">
        <v>553</v>
      </c>
      <c r="H32" s="0" t="s">
        <v>290</v>
      </c>
      <c r="I32" s="9" t="str">
        <f aca="false">VLOOKUP(B32,M:O,3,0)</f>
        <v>14:00</v>
      </c>
      <c r="J32" s="10" t="str">
        <f aca="false">VLOOKUP(B32,M:P,4,0)</f>
        <v>ZANICA VIA COMUN NUOVO 26-28 </v>
      </c>
      <c r="M32" s="0" t="s">
        <v>684</v>
      </c>
      <c r="N32" s="0" t="s">
        <v>685</v>
      </c>
      <c r="O32" s="0" t="s">
        <v>478</v>
      </c>
      <c r="P32" s="0" t="s">
        <v>686</v>
      </c>
    </row>
    <row r="33" customFormat="false" ht="12.5" hidden="false" customHeight="false" outlineLevel="0" collapsed="false">
      <c r="A33" s="5" t="n">
        <v>46102</v>
      </c>
      <c r="B33" s="0" t="s">
        <v>372</v>
      </c>
      <c r="C33" s="0" t="s">
        <v>377</v>
      </c>
      <c r="D33" s="0" t="s">
        <v>637</v>
      </c>
      <c r="E33" s="0" t="s">
        <v>47</v>
      </c>
      <c r="F33" s="0" t="n">
        <v>7</v>
      </c>
      <c r="G33" s="0" t="s">
        <v>553</v>
      </c>
      <c r="H33" s="0" t="s">
        <v>290</v>
      </c>
      <c r="I33" s="9" t="str">
        <f aca="false">VLOOKUP(B33,M:O,3,0)</f>
        <v>14:30</v>
      </c>
      <c r="J33" s="10" t="str">
        <f aca="false">VLOOKUP(B33,M:P,4,0)</f>
        <v>SCANZOROSCIATE VIA POLCAREZZO 2 </v>
      </c>
      <c r="M33" s="0" t="s">
        <v>687</v>
      </c>
      <c r="N33" s="0" t="s">
        <v>685</v>
      </c>
      <c r="O33" s="0" t="s">
        <v>478</v>
      </c>
      <c r="P33" s="0" t="s">
        <v>688</v>
      </c>
    </row>
    <row r="34" customFormat="false" ht="12.5" hidden="false" customHeight="false" outlineLevel="0" collapsed="false">
      <c r="A34" s="5" t="n">
        <v>46102</v>
      </c>
      <c r="B34" s="0" t="s">
        <v>375</v>
      </c>
      <c r="C34" s="0" t="s">
        <v>345</v>
      </c>
      <c r="D34" s="0" t="s">
        <v>637</v>
      </c>
      <c r="E34" s="0" t="s">
        <v>47</v>
      </c>
      <c r="F34" s="0" t="n">
        <v>7</v>
      </c>
      <c r="G34" s="0" t="s">
        <v>553</v>
      </c>
      <c r="H34" s="0" t="s">
        <v>290</v>
      </c>
      <c r="I34" s="9" t="str">
        <f aca="false">VLOOKUP(B34,M:O,3,0)</f>
        <v>14:30</v>
      </c>
      <c r="J34" s="10" t="str">
        <f aca="false">VLOOKUP(B34,M:P,4,0)</f>
        <v>TREZZO SULL'ADDA VIA ROCCA 19 </v>
      </c>
      <c r="M34" s="0" t="s">
        <v>689</v>
      </c>
      <c r="N34" s="0" t="s">
        <v>685</v>
      </c>
      <c r="O34" s="0" t="s">
        <v>478</v>
      </c>
      <c r="P34" s="0" t="s">
        <v>690</v>
      </c>
    </row>
    <row r="35" customFormat="false" ht="12.5" hidden="false" customHeight="false" outlineLevel="0" collapsed="false">
      <c r="A35" s="5" t="n">
        <v>46102</v>
      </c>
      <c r="B35" s="0" t="s">
        <v>351</v>
      </c>
      <c r="C35" s="0" t="s">
        <v>363</v>
      </c>
      <c r="D35" s="0" t="s">
        <v>637</v>
      </c>
      <c r="E35" s="0" t="s">
        <v>47</v>
      </c>
      <c r="F35" s="0" t="n">
        <v>7</v>
      </c>
      <c r="G35" s="0" t="s">
        <v>553</v>
      </c>
      <c r="H35" s="0" t="s">
        <v>290</v>
      </c>
      <c r="I35" s="9" t="str">
        <f aca="false">VLOOKUP(B35,M:O,3,0)</f>
        <v>14:30</v>
      </c>
      <c r="J35" s="10" t="str">
        <f aca="false">VLOOKUP(B35,M:P,4,0)</f>
        <v>SARNICO VIA OLIMPIA 4 </v>
      </c>
      <c r="M35" s="0" t="s">
        <v>691</v>
      </c>
      <c r="N35" s="0" t="s">
        <v>685</v>
      </c>
      <c r="O35" s="0" t="s">
        <v>478</v>
      </c>
      <c r="P35" s="0" t="s">
        <v>692</v>
      </c>
    </row>
    <row r="36" customFormat="false" ht="12.5" hidden="false" customHeight="false" outlineLevel="0" collapsed="false">
      <c r="A36" s="5" t="n">
        <v>46102</v>
      </c>
      <c r="B36" s="0" t="s">
        <v>362</v>
      </c>
      <c r="C36" s="0" t="s">
        <v>354</v>
      </c>
      <c r="D36" s="0" t="s">
        <v>637</v>
      </c>
      <c r="E36" s="0" t="s">
        <v>47</v>
      </c>
      <c r="F36" s="0" t="n">
        <v>7</v>
      </c>
      <c r="G36" s="0" t="s">
        <v>553</v>
      </c>
      <c r="H36" s="0" t="s">
        <v>290</v>
      </c>
      <c r="I36" s="9" t="str">
        <f aca="false">VLOOKUP(B36,M:O,3,0)</f>
        <v>16:00</v>
      </c>
      <c r="J36" s="10" t="str">
        <f aca="false">VLOOKUP(B36,M:P,4,0)</f>
        <v>CISERANO VIA MAZZINI 13 </v>
      </c>
      <c r="M36" s="0" t="s">
        <v>371</v>
      </c>
      <c r="N36" s="0" t="s">
        <v>685</v>
      </c>
      <c r="O36" s="0" t="s">
        <v>478</v>
      </c>
      <c r="P36" s="0" t="s">
        <v>693</v>
      </c>
    </row>
    <row r="37" customFormat="false" ht="12.5" hidden="false" customHeight="false" outlineLevel="0" collapsed="false">
      <c r="A37" s="5" t="n">
        <v>46109</v>
      </c>
      <c r="B37" s="0" t="s">
        <v>341</v>
      </c>
      <c r="C37" s="0" t="s">
        <v>351</v>
      </c>
      <c r="D37" s="0" t="s">
        <v>637</v>
      </c>
      <c r="E37" s="0" t="s">
        <v>47</v>
      </c>
      <c r="F37" s="0" t="n">
        <v>8</v>
      </c>
      <c r="G37" s="0" t="s">
        <v>553</v>
      </c>
      <c r="H37" s="0" t="s">
        <v>290</v>
      </c>
      <c r="I37" s="9" t="str">
        <f aca="false">VLOOKUP(B37,M:O,3,0)</f>
        <v>16:00</v>
      </c>
      <c r="J37" s="10" t="str">
        <f aca="false">VLOOKUP(B37,M:P,4,0)</f>
        <v>PONTE SAN PIETRO ZONA CLINICA VIA XXIV MAGGIO </v>
      </c>
      <c r="M37" s="0" t="s">
        <v>694</v>
      </c>
      <c r="N37" s="0" t="s">
        <v>685</v>
      </c>
      <c r="O37" s="0" t="s">
        <v>472</v>
      </c>
      <c r="P37" s="0" t="s">
        <v>695</v>
      </c>
    </row>
    <row r="38" customFormat="false" ht="12.5" hidden="false" customHeight="false" outlineLevel="0" collapsed="false">
      <c r="A38" s="5" t="n">
        <v>46110</v>
      </c>
      <c r="B38" s="0" t="s">
        <v>345</v>
      </c>
      <c r="C38" s="0" t="s">
        <v>372</v>
      </c>
      <c r="D38" s="0" t="s">
        <v>637</v>
      </c>
      <c r="E38" s="0" t="s">
        <v>47</v>
      </c>
      <c r="F38" s="0" t="n">
        <v>8</v>
      </c>
      <c r="G38" s="0" t="s">
        <v>553</v>
      </c>
      <c r="H38" s="0" t="s">
        <v>290</v>
      </c>
      <c r="I38" s="9" t="str">
        <f aca="false">VLOOKUP(B38,M:O,3,0)</f>
        <v>14:30</v>
      </c>
      <c r="J38" s="10" t="str">
        <f aca="false">VLOOKUP(B38,M:P,4,0)</f>
        <v>BREMBATE VIA ORATORIO 20 </v>
      </c>
      <c r="M38" s="0" t="s">
        <v>506</v>
      </c>
      <c r="N38" s="0" t="s">
        <v>685</v>
      </c>
      <c r="O38" s="0" t="s">
        <v>630</v>
      </c>
      <c r="P38" s="0" t="s">
        <v>696</v>
      </c>
    </row>
    <row r="39" customFormat="false" ht="12.5" hidden="false" customHeight="false" outlineLevel="0" collapsed="false">
      <c r="A39" s="5" t="n">
        <v>46109</v>
      </c>
      <c r="B39" s="0" t="s">
        <v>377</v>
      </c>
      <c r="C39" s="0" t="s">
        <v>367</v>
      </c>
      <c r="D39" s="0" t="s">
        <v>637</v>
      </c>
      <c r="E39" s="0" t="s">
        <v>47</v>
      </c>
      <c r="F39" s="0" t="n">
        <v>8</v>
      </c>
      <c r="G39" s="0" t="s">
        <v>553</v>
      </c>
      <c r="H39" s="0" t="s">
        <v>290</v>
      </c>
      <c r="I39" s="9" t="str">
        <f aca="false">VLOOKUP(B39,M:O,3,0)</f>
        <v>14:00</v>
      </c>
      <c r="J39" s="10" t="str">
        <f aca="false">VLOOKUP(B39,M:P,4,0)</f>
        <v>BRUSAPORTO VIA BELVEDERE 1 </v>
      </c>
      <c r="M39" s="0" t="s">
        <v>378</v>
      </c>
      <c r="N39" s="0" t="s">
        <v>685</v>
      </c>
      <c r="O39" s="0" t="s">
        <v>630</v>
      </c>
      <c r="P39" s="0" t="s">
        <v>697</v>
      </c>
    </row>
    <row r="40" customFormat="false" ht="12.5" hidden="false" customHeight="false" outlineLevel="0" collapsed="false">
      <c r="A40" s="5" t="n">
        <v>46109</v>
      </c>
      <c r="B40" s="0" t="s">
        <v>363</v>
      </c>
      <c r="C40" s="0" t="s">
        <v>362</v>
      </c>
      <c r="D40" s="0" t="s">
        <v>637</v>
      </c>
      <c r="E40" s="0" t="s">
        <v>47</v>
      </c>
      <c r="F40" s="0" t="n">
        <v>8</v>
      </c>
      <c r="G40" s="0" t="s">
        <v>553</v>
      </c>
      <c r="H40" s="0" t="s">
        <v>290</v>
      </c>
      <c r="I40" s="9" t="str">
        <f aca="false">VLOOKUP(B40,M:O,3,0)</f>
        <v>14:15</v>
      </c>
      <c r="J40" s="10" t="str">
        <f aca="false">VLOOKUP(B40,M:P,4,0)</f>
        <v>CARAVAGGIO VIA G.CASTOLDI 11 </v>
      </c>
      <c r="M40" s="0" t="s">
        <v>698</v>
      </c>
      <c r="N40" s="0" t="s">
        <v>685</v>
      </c>
      <c r="O40" s="0" t="s">
        <v>478</v>
      </c>
      <c r="P40" s="0" t="s">
        <v>699</v>
      </c>
    </row>
    <row r="41" customFormat="false" ht="12.5" hidden="false" customHeight="false" outlineLevel="0" collapsed="false">
      <c r="A41" s="5" t="n">
        <v>46109</v>
      </c>
      <c r="B41" s="0" t="s">
        <v>375</v>
      </c>
      <c r="C41" s="0" t="s">
        <v>354</v>
      </c>
      <c r="D41" s="0" t="s">
        <v>637</v>
      </c>
      <c r="E41" s="0" t="s">
        <v>47</v>
      </c>
      <c r="F41" s="0" t="n">
        <v>8</v>
      </c>
      <c r="G41" s="0" t="s">
        <v>553</v>
      </c>
      <c r="H41" s="0" t="s">
        <v>290</v>
      </c>
      <c r="I41" s="9" t="str">
        <f aca="false">VLOOKUP(B41,M:O,3,0)</f>
        <v>14:30</v>
      </c>
      <c r="J41" s="10" t="str">
        <f aca="false">VLOOKUP(B41,M:P,4,0)</f>
        <v>TREZZO SULL'ADDA VIA ROCCA 19 </v>
      </c>
      <c r="M41" s="0" t="s">
        <v>700</v>
      </c>
      <c r="N41" s="0" t="s">
        <v>701</v>
      </c>
      <c r="O41" s="0" t="s">
        <v>478</v>
      </c>
      <c r="P41" s="0" t="s">
        <v>688</v>
      </c>
    </row>
    <row r="42" customFormat="false" ht="12.5" hidden="false" customHeight="false" outlineLevel="0" collapsed="false">
      <c r="A42" s="5" t="n">
        <v>46123</v>
      </c>
      <c r="B42" s="0" t="s">
        <v>367</v>
      </c>
      <c r="C42" s="0" t="s">
        <v>345</v>
      </c>
      <c r="D42" s="0" t="s">
        <v>637</v>
      </c>
      <c r="E42" s="0" t="s">
        <v>47</v>
      </c>
      <c r="F42" s="0" t="n">
        <v>9</v>
      </c>
      <c r="G42" s="0" t="s">
        <v>553</v>
      </c>
      <c r="H42" s="0" t="s">
        <v>290</v>
      </c>
      <c r="I42" s="9" t="str">
        <f aca="false">VLOOKUP(B42,M:O,3,0)</f>
        <v>14:00</v>
      </c>
      <c r="J42" s="10" t="str">
        <f aca="false">VLOOKUP(B42,M:P,4,0)</f>
        <v>ZANICA VIA COMUN NUOVO 26-28 </v>
      </c>
      <c r="M42" s="0" t="s">
        <v>702</v>
      </c>
      <c r="N42" s="0" t="s">
        <v>701</v>
      </c>
      <c r="O42" s="0" t="s">
        <v>478</v>
      </c>
      <c r="P42" s="0" t="s">
        <v>656</v>
      </c>
    </row>
    <row r="43" customFormat="false" ht="12.5" hidden="false" customHeight="false" outlineLevel="0" collapsed="false">
      <c r="A43" s="5" t="n">
        <v>46123</v>
      </c>
      <c r="B43" s="0" t="s">
        <v>372</v>
      </c>
      <c r="C43" s="0" t="s">
        <v>375</v>
      </c>
      <c r="D43" s="0" t="s">
        <v>637</v>
      </c>
      <c r="E43" s="0" t="s">
        <v>47</v>
      </c>
      <c r="F43" s="0" t="n">
        <v>9</v>
      </c>
      <c r="G43" s="0" t="s">
        <v>553</v>
      </c>
      <c r="H43" s="0" t="s">
        <v>290</v>
      </c>
      <c r="I43" s="9" t="str">
        <f aca="false">VLOOKUP(B43,M:O,3,0)</f>
        <v>14:30</v>
      </c>
      <c r="J43" s="10" t="str">
        <f aca="false">VLOOKUP(B43,M:P,4,0)</f>
        <v>SCANZOROSCIATE VIA POLCAREZZO 2 </v>
      </c>
      <c r="K43" s="4" t="s">
        <v>703</v>
      </c>
      <c r="M43" s="0" t="s">
        <v>704</v>
      </c>
      <c r="N43" s="0" t="s">
        <v>701</v>
      </c>
      <c r="O43" s="0" t="s">
        <v>481</v>
      </c>
      <c r="P43" s="0" t="s">
        <v>705</v>
      </c>
    </row>
    <row r="44" customFormat="false" ht="12.5" hidden="false" customHeight="false" outlineLevel="0" collapsed="false">
      <c r="A44" s="5" t="n">
        <v>46123</v>
      </c>
      <c r="B44" s="0" t="s">
        <v>351</v>
      </c>
      <c r="C44" s="0" t="s">
        <v>377</v>
      </c>
      <c r="D44" s="0" t="s">
        <v>637</v>
      </c>
      <c r="E44" s="0" t="s">
        <v>47</v>
      </c>
      <c r="F44" s="0" t="n">
        <v>9</v>
      </c>
      <c r="G44" s="0" t="s">
        <v>553</v>
      </c>
      <c r="H44" s="0" t="s">
        <v>290</v>
      </c>
      <c r="I44" s="9" t="str">
        <f aca="false">VLOOKUP(B44,M:O,3,0)</f>
        <v>14:30</v>
      </c>
      <c r="J44" s="10" t="str">
        <f aca="false">VLOOKUP(B44,M:P,4,0)</f>
        <v>SARNICO VIA OLIMPIA 4 </v>
      </c>
      <c r="M44" s="0" t="s">
        <v>706</v>
      </c>
      <c r="N44" s="0" t="s">
        <v>701</v>
      </c>
      <c r="O44" s="0" t="s">
        <v>478</v>
      </c>
      <c r="P44" s="0" t="s">
        <v>674</v>
      </c>
    </row>
    <row r="45" customFormat="false" ht="12.5" hidden="false" customHeight="false" outlineLevel="0" collapsed="false">
      <c r="A45" s="5" t="n">
        <v>46123</v>
      </c>
      <c r="B45" s="0" t="s">
        <v>354</v>
      </c>
      <c r="C45" s="0" t="s">
        <v>363</v>
      </c>
      <c r="D45" s="0" t="s">
        <v>637</v>
      </c>
      <c r="E45" s="0" t="s">
        <v>47</v>
      </c>
      <c r="F45" s="0" t="n">
        <v>9</v>
      </c>
      <c r="G45" s="0" t="s">
        <v>553</v>
      </c>
      <c r="H45" s="0" t="s">
        <v>290</v>
      </c>
      <c r="I45" s="9" t="str">
        <f aca="false">VLOOKUP(B45,M:O,3,0)</f>
        <v>17:00</v>
      </c>
      <c r="J45" s="10" t="str">
        <f aca="false">VLOOKUP(B45,M:P,4,0)</f>
        <v>VILLA D'ALME' VIA RONCO BASSO 15 </v>
      </c>
      <c r="M45" s="0" t="s">
        <v>411</v>
      </c>
      <c r="N45" s="0" t="s">
        <v>701</v>
      </c>
      <c r="O45" s="0" t="s">
        <v>633</v>
      </c>
      <c r="P45" s="0" t="s">
        <v>675</v>
      </c>
    </row>
    <row r="46" customFormat="false" ht="12.5" hidden="false" customHeight="false" outlineLevel="0" collapsed="false">
      <c r="A46" s="5" t="n">
        <v>46123</v>
      </c>
      <c r="B46" s="0" t="s">
        <v>362</v>
      </c>
      <c r="C46" s="0" t="s">
        <v>341</v>
      </c>
      <c r="D46" s="0" t="s">
        <v>637</v>
      </c>
      <c r="E46" s="0" t="s">
        <v>47</v>
      </c>
      <c r="F46" s="0" t="n">
        <v>9</v>
      </c>
      <c r="G46" s="0" t="s">
        <v>553</v>
      </c>
      <c r="H46" s="0" t="s">
        <v>290</v>
      </c>
      <c r="I46" s="9" t="str">
        <f aca="false">VLOOKUP(B46,M:O,3,0)</f>
        <v>16:00</v>
      </c>
      <c r="J46" s="10" t="str">
        <f aca="false">VLOOKUP(B46,M:P,4,0)</f>
        <v>CISERANO VIA MAZZINI 13 </v>
      </c>
      <c r="M46" s="0" t="s">
        <v>707</v>
      </c>
      <c r="N46" s="0" t="s">
        <v>701</v>
      </c>
      <c r="O46" s="0" t="s">
        <v>481</v>
      </c>
      <c r="P46" s="0" t="s">
        <v>708</v>
      </c>
    </row>
    <row r="47" customFormat="false" ht="12.5" hidden="false" customHeight="false" outlineLevel="0" collapsed="false">
      <c r="A47" s="12" t="n">
        <v>46060</v>
      </c>
      <c r="B47" s="0" t="s">
        <v>650</v>
      </c>
      <c r="C47" s="0" t="s">
        <v>328</v>
      </c>
      <c r="D47" s="0" t="s">
        <v>637</v>
      </c>
      <c r="E47" s="0" t="s">
        <v>183</v>
      </c>
      <c r="F47" s="0" t="n">
        <v>1</v>
      </c>
      <c r="G47" s="0" t="s">
        <v>553</v>
      </c>
      <c r="H47" s="0" t="s">
        <v>636</v>
      </c>
      <c r="I47" s="9" t="str">
        <f aca="false">VLOOKUP(B47,M:O,3,0)</f>
        <v>14:30</v>
      </c>
      <c r="J47" s="10" t="str">
        <f aca="false">VLOOKUP(B47,M:P,4,0)</f>
        <v>PALADINA VIA DEGLI ALPINI N.1 </v>
      </c>
      <c r="M47" s="0" t="s">
        <v>709</v>
      </c>
      <c r="N47" s="0" t="s">
        <v>701</v>
      </c>
      <c r="O47" s="0" t="s">
        <v>478</v>
      </c>
      <c r="P47" s="0" t="s">
        <v>710</v>
      </c>
    </row>
    <row r="48" customFormat="false" ht="12.5" hidden="false" customHeight="false" outlineLevel="0" collapsed="false">
      <c r="A48" s="12" t="n">
        <v>46060</v>
      </c>
      <c r="B48" s="0" t="s">
        <v>440</v>
      </c>
      <c r="C48" s="0" t="s">
        <v>663</v>
      </c>
      <c r="D48" s="0" t="s">
        <v>637</v>
      </c>
      <c r="E48" s="0" t="s">
        <v>183</v>
      </c>
      <c r="F48" s="0" t="n">
        <v>1</v>
      </c>
      <c r="G48" s="0" t="s">
        <v>553</v>
      </c>
      <c r="H48" s="0" t="s">
        <v>636</v>
      </c>
      <c r="I48" s="9" t="str">
        <f aca="false">VLOOKUP(B48,M:O,3,0)</f>
        <v>15:00</v>
      </c>
      <c r="J48" s="10" t="str">
        <f aca="false">VLOOKUP(B48,M:P,4,0)</f>
        <v>CISANO BERGAMASCO VIA CA' DE' VOLPI N°7 </v>
      </c>
      <c r="M48" s="0" t="s">
        <v>711</v>
      </c>
      <c r="N48" s="0" t="s">
        <v>701</v>
      </c>
      <c r="O48" s="0" t="s">
        <v>464</v>
      </c>
      <c r="P48" s="0" t="s">
        <v>712</v>
      </c>
    </row>
    <row r="49" customFormat="false" ht="25" hidden="false" customHeight="false" outlineLevel="0" collapsed="false">
      <c r="A49" s="12" t="n">
        <v>46060</v>
      </c>
      <c r="B49" s="0" t="s">
        <v>654</v>
      </c>
      <c r="C49" s="0" t="s">
        <v>665</v>
      </c>
      <c r="D49" s="0" t="s">
        <v>637</v>
      </c>
      <c r="E49" s="0" t="s">
        <v>183</v>
      </c>
      <c r="F49" s="0" t="n">
        <v>1</v>
      </c>
      <c r="G49" s="0" t="s">
        <v>553</v>
      </c>
      <c r="H49" s="0" t="s">
        <v>636</v>
      </c>
      <c r="I49" s="9" t="str">
        <f aca="false">VLOOKUP(B49,M:O,3,0)</f>
        <v>11:00</v>
      </c>
      <c r="J49" s="10" t="str">
        <f aca="false">VLOOKUP(B49,M:P,4,0)</f>
        <v>FARA OLIVANA CON SOLA VIA VITTORIO EMANUELE SNC </v>
      </c>
      <c r="M49" s="0" t="s">
        <v>713</v>
      </c>
      <c r="N49" s="0" t="s">
        <v>701</v>
      </c>
      <c r="O49" s="0" t="s">
        <v>464</v>
      </c>
      <c r="P49" s="0" t="s">
        <v>714</v>
      </c>
    </row>
    <row r="50" customFormat="false" ht="12.5" hidden="false" customHeight="false" outlineLevel="0" collapsed="false">
      <c r="A50" s="12" t="n">
        <v>46060</v>
      </c>
      <c r="B50" s="0" t="s">
        <v>657</v>
      </c>
      <c r="C50" s="0" t="s">
        <v>666</v>
      </c>
      <c r="D50" s="0" t="s">
        <v>637</v>
      </c>
      <c r="E50" s="0" t="s">
        <v>183</v>
      </c>
      <c r="F50" s="0" t="n">
        <v>1</v>
      </c>
      <c r="G50" s="0" t="s">
        <v>553</v>
      </c>
      <c r="H50" s="0" t="s">
        <v>636</v>
      </c>
      <c r="I50" s="9" t="str">
        <f aca="false">VLOOKUP(B50,M:O,3,0)</f>
        <v>14:00</v>
      </c>
      <c r="J50" s="10" t="str">
        <f aca="false">VLOOKUP(B50,M:P,4,0)</f>
        <v>CARVICO VIA PEDRAZZI </v>
      </c>
      <c r="M50" s="4" t="s">
        <v>715</v>
      </c>
      <c r="N50" s="0" t="s">
        <v>14</v>
      </c>
      <c r="O50" s="17" t="n">
        <v>0.604166666666667</v>
      </c>
      <c r="P50" s="0" t="s">
        <v>716</v>
      </c>
    </row>
    <row r="51" customFormat="false" ht="12.5" hidden="false" customHeight="false" outlineLevel="0" collapsed="false">
      <c r="A51" s="12" t="n">
        <v>46060</v>
      </c>
      <c r="B51" s="0" t="s">
        <v>659</v>
      </c>
      <c r="C51" s="0" t="s">
        <v>661</v>
      </c>
      <c r="D51" s="0" t="s">
        <v>637</v>
      </c>
      <c r="E51" s="0" t="s">
        <v>183</v>
      </c>
      <c r="F51" s="0" t="n">
        <v>1</v>
      </c>
      <c r="G51" s="0" t="s">
        <v>553</v>
      </c>
      <c r="H51" s="0" t="s">
        <v>636</v>
      </c>
      <c r="I51" s="9" t="str">
        <f aca="false">VLOOKUP(B51,M:O,3,0)</f>
        <v>14:30</v>
      </c>
      <c r="J51" s="10" t="str">
        <f aca="false">VLOOKUP(B51,M:P,4,0)</f>
        <v>BREMBATE VIA MARCONI </v>
      </c>
      <c r="M51" s="4" t="s">
        <v>717</v>
      </c>
      <c r="N51" s="0" t="s">
        <v>14</v>
      </c>
      <c r="O51" s="17" t="n">
        <v>0.697916666666667</v>
      </c>
      <c r="P51" s="0" t="s">
        <v>718</v>
      </c>
    </row>
    <row r="52" customFormat="false" ht="12.5" hidden="false" customHeight="false" outlineLevel="0" collapsed="false">
      <c r="A52" s="12" t="n">
        <v>46067</v>
      </c>
      <c r="B52" s="0" t="s">
        <v>328</v>
      </c>
      <c r="C52" s="0" t="s">
        <v>659</v>
      </c>
      <c r="D52" s="0" t="s">
        <v>637</v>
      </c>
      <c r="E52" s="0" t="s">
        <v>183</v>
      </c>
      <c r="F52" s="0" t="n">
        <v>2</v>
      </c>
      <c r="G52" s="0" t="s">
        <v>553</v>
      </c>
      <c r="H52" s="0" t="s">
        <v>636</v>
      </c>
      <c r="I52" s="9" t="str">
        <f aca="false">VLOOKUP(B52,M:O,3,0)</f>
        <v>16:00</v>
      </c>
      <c r="J52" s="10" t="str">
        <f aca="false">VLOOKUP(B52,M:P,4,0)</f>
        <v>PONTE SAN PIETRO ZONA CLINICA VIA XXIV MAGGIO </v>
      </c>
      <c r="M52" s="4" t="s">
        <v>604</v>
      </c>
      <c r="N52" s="0" t="s">
        <v>14</v>
      </c>
      <c r="O52" s="17" t="n">
        <v>0.625</v>
      </c>
      <c r="P52" s="0" t="s">
        <v>719</v>
      </c>
    </row>
    <row r="53" customFormat="false" ht="12.5" hidden="false" customHeight="false" outlineLevel="0" collapsed="false">
      <c r="A53" s="12" t="n">
        <v>46067</v>
      </c>
      <c r="B53" s="0" t="s">
        <v>661</v>
      </c>
      <c r="C53" s="0" t="s">
        <v>440</v>
      </c>
      <c r="D53" s="0" t="s">
        <v>637</v>
      </c>
      <c r="E53" s="0" t="s">
        <v>183</v>
      </c>
      <c r="F53" s="0" t="n">
        <v>2</v>
      </c>
      <c r="G53" s="0" t="s">
        <v>553</v>
      </c>
      <c r="H53" s="0" t="s">
        <v>636</v>
      </c>
      <c r="I53" s="9" t="str">
        <f aca="false">VLOOKUP(B53,M:O,3,0)</f>
        <v>14:30</v>
      </c>
      <c r="J53" s="10" t="str">
        <f aca="false">VLOOKUP(B53,M:P,4,0)</f>
        <v>BONATE SOTTO VIA GIUSEPPE GARIBALDI 15 </v>
      </c>
      <c r="M53" s="4" t="s">
        <v>308</v>
      </c>
      <c r="N53" s="0" t="s">
        <v>14</v>
      </c>
      <c r="O53" s="17" t="n">
        <v>0.604166666666667</v>
      </c>
      <c r="P53" s="0" t="s">
        <v>720</v>
      </c>
    </row>
    <row r="54" customFormat="false" ht="12.5" hidden="false" customHeight="false" outlineLevel="0" collapsed="false">
      <c r="A54" s="12" t="n">
        <v>46067</v>
      </c>
      <c r="B54" s="0" t="s">
        <v>663</v>
      </c>
      <c r="C54" s="0" t="s">
        <v>654</v>
      </c>
      <c r="D54" s="0" t="s">
        <v>637</v>
      </c>
      <c r="E54" s="0" t="s">
        <v>183</v>
      </c>
      <c r="F54" s="0" t="n">
        <v>2</v>
      </c>
      <c r="G54" s="0" t="s">
        <v>553</v>
      </c>
      <c r="H54" s="0" t="s">
        <v>636</v>
      </c>
      <c r="I54" s="9" t="str">
        <f aca="false">VLOOKUP(B54,M:O,3,0)</f>
        <v>14:30</v>
      </c>
      <c r="J54" s="10" t="str">
        <f aca="false">VLOOKUP(B54,M:P,4,0)</f>
        <v>BREMBATE DI SOPRA VIA DON GIOVANNI SALA SNC </v>
      </c>
      <c r="M54" s="4" t="s">
        <v>721</v>
      </c>
      <c r="N54" s="0" t="s">
        <v>14</v>
      </c>
      <c r="O54" s="17" t="n">
        <v>0.645833333333333</v>
      </c>
      <c r="P54" s="0" t="s">
        <v>722</v>
      </c>
    </row>
    <row r="55" customFormat="false" ht="12.5" hidden="false" customHeight="false" outlineLevel="0" collapsed="false">
      <c r="A55" s="12" t="n">
        <v>46067</v>
      </c>
      <c r="B55" s="0" t="s">
        <v>665</v>
      </c>
      <c r="C55" s="0" t="s">
        <v>657</v>
      </c>
      <c r="D55" s="0" t="s">
        <v>637</v>
      </c>
      <c r="E55" s="0" t="s">
        <v>183</v>
      </c>
      <c r="F55" s="0" t="n">
        <v>2</v>
      </c>
      <c r="G55" s="0" t="s">
        <v>553</v>
      </c>
      <c r="H55" s="0" t="s">
        <v>636</v>
      </c>
      <c r="I55" s="9" t="str">
        <f aca="false">VLOOKUP(B55,M:O,3,0)</f>
        <v>14:30</v>
      </c>
      <c r="J55" s="10" t="str">
        <f aca="false">VLOOKUP(B55,M:P,4,0)</f>
        <v>TREZZO SULL'ADDA VIA ROCCA 19 </v>
      </c>
      <c r="M55" s="4" t="s">
        <v>723</v>
      </c>
      <c r="N55" s="0" t="s">
        <v>14</v>
      </c>
      <c r="O55" s="17" t="n">
        <v>0.604166666666667</v>
      </c>
      <c r="P55" s="0" t="s">
        <v>724</v>
      </c>
    </row>
    <row r="56" customFormat="false" ht="12.5" hidden="false" customHeight="false" outlineLevel="0" collapsed="false">
      <c r="A56" s="12" t="n">
        <v>46067</v>
      </c>
      <c r="B56" s="0" t="s">
        <v>666</v>
      </c>
      <c r="C56" s="0" t="s">
        <v>650</v>
      </c>
      <c r="D56" s="0" t="s">
        <v>637</v>
      </c>
      <c r="E56" s="0" t="s">
        <v>183</v>
      </c>
      <c r="F56" s="0" t="n">
        <v>2</v>
      </c>
      <c r="G56" s="0" t="s">
        <v>553</v>
      </c>
      <c r="H56" s="0" t="s">
        <v>636</v>
      </c>
      <c r="I56" s="9" t="str">
        <f aca="false">VLOOKUP(B56,M:O,3,0)</f>
        <v>15:30</v>
      </c>
      <c r="J56" s="10" t="str">
        <f aca="false">VLOOKUP(B56,M:P,4,0)</f>
        <v>VILLA D'ALME' VIA RONCO BASSO 15 </v>
      </c>
      <c r="M56" s="4" t="s">
        <v>598</v>
      </c>
      <c r="N56" s="0" t="s">
        <v>14</v>
      </c>
      <c r="O56" s="17" t="n">
        <v>0.604166666666667</v>
      </c>
      <c r="P56" s="0" t="s">
        <v>725</v>
      </c>
    </row>
    <row r="57" customFormat="false" ht="12.5" hidden="false" customHeight="false" outlineLevel="0" collapsed="false">
      <c r="A57" s="12" t="n">
        <v>46074</v>
      </c>
      <c r="B57" s="0" t="s">
        <v>440</v>
      </c>
      <c r="C57" s="0" t="s">
        <v>328</v>
      </c>
      <c r="D57" s="0" t="s">
        <v>637</v>
      </c>
      <c r="E57" s="0" t="s">
        <v>183</v>
      </c>
      <c r="F57" s="0" t="n">
        <v>3</v>
      </c>
      <c r="G57" s="0" t="s">
        <v>553</v>
      </c>
      <c r="H57" s="0" t="s">
        <v>636</v>
      </c>
      <c r="I57" s="9" t="str">
        <f aca="false">VLOOKUP(B57,M:O,3,0)</f>
        <v>15:00</v>
      </c>
      <c r="J57" s="10" t="str">
        <f aca="false">VLOOKUP(B57,M:P,4,0)</f>
        <v>CISANO BERGAMASCO VIA CA' DE' VOLPI N°7 </v>
      </c>
      <c r="M57" s="4" t="s">
        <v>325</v>
      </c>
      <c r="N57" s="0" t="s">
        <v>14</v>
      </c>
      <c r="O57" s="17" t="n">
        <v>0.614583333333333</v>
      </c>
      <c r="P57" s="0" t="s">
        <v>726</v>
      </c>
    </row>
    <row r="58" customFormat="false" ht="25" hidden="false" customHeight="false" outlineLevel="0" collapsed="false">
      <c r="A58" s="12" t="n">
        <v>46074</v>
      </c>
      <c r="B58" s="0" t="s">
        <v>654</v>
      </c>
      <c r="C58" s="0" t="s">
        <v>661</v>
      </c>
      <c r="D58" s="0" t="s">
        <v>637</v>
      </c>
      <c r="E58" s="0" t="s">
        <v>183</v>
      </c>
      <c r="F58" s="0" t="n">
        <v>3</v>
      </c>
      <c r="G58" s="0" t="s">
        <v>553</v>
      </c>
      <c r="H58" s="0" t="s">
        <v>636</v>
      </c>
      <c r="I58" s="9" t="str">
        <f aca="false">VLOOKUP(B58,M:O,3,0)</f>
        <v>11:00</v>
      </c>
      <c r="J58" s="10" t="str">
        <f aca="false">VLOOKUP(B58,M:P,4,0)</f>
        <v>FARA OLIVANA CON SOLA VIA VITTORIO EMANUELE SNC </v>
      </c>
      <c r="M58" s="4" t="s">
        <v>321</v>
      </c>
      <c r="N58" s="4" t="s">
        <v>14</v>
      </c>
      <c r="O58" s="18" t="n">
        <v>0.6875</v>
      </c>
      <c r="P58" s="4" t="s">
        <v>727</v>
      </c>
    </row>
    <row r="59" customFormat="false" ht="12.5" hidden="false" customHeight="false" outlineLevel="0" collapsed="false">
      <c r="A59" s="12" t="n">
        <v>46074</v>
      </c>
      <c r="B59" s="0" t="s">
        <v>657</v>
      </c>
      <c r="C59" s="0" t="s">
        <v>663</v>
      </c>
      <c r="D59" s="0" t="s">
        <v>637</v>
      </c>
      <c r="E59" s="0" t="s">
        <v>183</v>
      </c>
      <c r="F59" s="0" t="n">
        <v>3</v>
      </c>
      <c r="G59" s="0" t="s">
        <v>553</v>
      </c>
      <c r="H59" s="0" t="s">
        <v>636</v>
      </c>
      <c r="I59" s="9" t="str">
        <f aca="false">VLOOKUP(B59,M:O,3,0)</f>
        <v>14:00</v>
      </c>
      <c r="J59" s="10" t="str">
        <f aca="false">VLOOKUP(B59,M:P,4,0)</f>
        <v>CARVICO VIA PEDRAZZI </v>
      </c>
      <c r="M59" s="0" t="s">
        <v>390</v>
      </c>
      <c r="N59" s="4" t="s">
        <v>69</v>
      </c>
      <c r="O59" s="18" t="n">
        <v>0.625</v>
      </c>
      <c r="P59" s="4" t="s">
        <v>728</v>
      </c>
    </row>
    <row r="60" customFormat="false" ht="12.5" hidden="false" customHeight="false" outlineLevel="0" collapsed="false">
      <c r="A60" s="12" t="n">
        <v>46074</v>
      </c>
      <c r="B60" s="0" t="s">
        <v>659</v>
      </c>
      <c r="C60" s="0" t="s">
        <v>650</v>
      </c>
      <c r="D60" s="0" t="s">
        <v>637</v>
      </c>
      <c r="E60" s="0" t="s">
        <v>183</v>
      </c>
      <c r="F60" s="0" t="n">
        <v>3</v>
      </c>
      <c r="G60" s="0" t="s">
        <v>553</v>
      </c>
      <c r="H60" s="0" t="s">
        <v>636</v>
      </c>
      <c r="I60" s="9" t="str">
        <f aca="false">VLOOKUP(B60,M:O,3,0)</f>
        <v>14:30</v>
      </c>
      <c r="J60" s="10" t="str">
        <f aca="false">VLOOKUP(B60,M:P,4,0)</f>
        <v>BREMBATE VIA MARCONI </v>
      </c>
      <c r="M60" s="0" t="s">
        <v>350</v>
      </c>
      <c r="N60" s="4" t="s">
        <v>69</v>
      </c>
      <c r="O60" s="18" t="n">
        <v>0.583333333333333</v>
      </c>
      <c r="P60" s="4" t="s">
        <v>729</v>
      </c>
    </row>
    <row r="61" customFormat="false" ht="12.5" hidden="false" customHeight="false" outlineLevel="0" collapsed="false">
      <c r="A61" s="12" t="n">
        <v>46074</v>
      </c>
      <c r="B61" s="0" t="s">
        <v>665</v>
      </c>
      <c r="C61" s="0" t="s">
        <v>666</v>
      </c>
      <c r="D61" s="0" t="s">
        <v>637</v>
      </c>
      <c r="E61" s="0" t="s">
        <v>183</v>
      </c>
      <c r="F61" s="0" t="n">
        <v>3</v>
      </c>
      <c r="G61" s="0" t="s">
        <v>553</v>
      </c>
      <c r="H61" s="0" t="s">
        <v>636</v>
      </c>
      <c r="I61" s="9" t="str">
        <f aca="false">VLOOKUP(B61,M:O,3,0)</f>
        <v>14:30</v>
      </c>
      <c r="J61" s="10" t="str">
        <f aca="false">VLOOKUP(B61,M:P,4,0)</f>
        <v>TREZZO SULL'ADDA VIA ROCCA 19 </v>
      </c>
      <c r="M61" s="0" t="s">
        <v>730</v>
      </c>
      <c r="N61" s="4" t="s">
        <v>69</v>
      </c>
      <c r="O61" s="18" t="n">
        <v>0.625</v>
      </c>
      <c r="P61" s="4" t="s">
        <v>731</v>
      </c>
    </row>
    <row r="62" customFormat="false" ht="12.5" hidden="false" customHeight="false" outlineLevel="0" collapsed="false">
      <c r="A62" s="12" t="n">
        <v>46081</v>
      </c>
      <c r="B62" s="0" t="s">
        <v>328</v>
      </c>
      <c r="C62" s="0" t="s">
        <v>654</v>
      </c>
      <c r="D62" s="0" t="s">
        <v>637</v>
      </c>
      <c r="E62" s="0" t="s">
        <v>183</v>
      </c>
      <c r="F62" s="0" t="n">
        <v>4</v>
      </c>
      <c r="G62" s="0" t="s">
        <v>553</v>
      </c>
      <c r="H62" s="0" t="s">
        <v>636</v>
      </c>
      <c r="I62" s="9" t="str">
        <f aca="false">VLOOKUP(B62,M:O,3,0)</f>
        <v>16:00</v>
      </c>
      <c r="J62" s="10" t="str">
        <f aca="false">VLOOKUP(B62,M:P,4,0)</f>
        <v>PONTE SAN PIETRO ZONA CLINICA VIA XXIV MAGGIO </v>
      </c>
      <c r="M62" s="0" t="s">
        <v>519</v>
      </c>
      <c r="N62" s="4" t="s">
        <v>69</v>
      </c>
      <c r="O62" s="18" t="n">
        <v>0.604166666666667</v>
      </c>
      <c r="P62" s="4" t="s">
        <v>732</v>
      </c>
    </row>
    <row r="63" customFormat="false" ht="12.5" hidden="false" customHeight="false" outlineLevel="0" collapsed="false">
      <c r="A63" s="12" t="n">
        <v>46081</v>
      </c>
      <c r="B63" s="0" t="s">
        <v>650</v>
      </c>
      <c r="C63" s="0" t="s">
        <v>440</v>
      </c>
      <c r="D63" s="0" t="s">
        <v>637</v>
      </c>
      <c r="E63" s="0" t="s">
        <v>183</v>
      </c>
      <c r="F63" s="0" t="n">
        <v>4</v>
      </c>
      <c r="G63" s="0" t="s">
        <v>553</v>
      </c>
      <c r="H63" s="0" t="s">
        <v>636</v>
      </c>
      <c r="I63" s="9" t="str">
        <f aca="false">VLOOKUP(B63,M:O,3,0)</f>
        <v>14:30</v>
      </c>
      <c r="J63" s="10" t="str">
        <f aca="false">VLOOKUP(B63,M:P,4,0)</f>
        <v>PALADINA VIA DEGLI ALPINI N.1 </v>
      </c>
      <c r="M63" s="0" t="s">
        <v>733</v>
      </c>
      <c r="N63" s="4" t="s">
        <v>69</v>
      </c>
      <c r="O63" s="18" t="n">
        <v>0.604166666666667</v>
      </c>
      <c r="P63" s="4" t="s">
        <v>722</v>
      </c>
    </row>
    <row r="64" customFormat="false" ht="12.5" hidden="false" customHeight="false" outlineLevel="0" collapsed="false">
      <c r="A64" s="12" t="n">
        <v>46081</v>
      </c>
      <c r="B64" s="0" t="s">
        <v>661</v>
      </c>
      <c r="C64" s="0" t="s">
        <v>657</v>
      </c>
      <c r="D64" s="0" t="s">
        <v>637</v>
      </c>
      <c r="E64" s="0" t="s">
        <v>183</v>
      </c>
      <c r="F64" s="0" t="n">
        <v>4</v>
      </c>
      <c r="G64" s="0" t="s">
        <v>553</v>
      </c>
      <c r="H64" s="0" t="s">
        <v>636</v>
      </c>
      <c r="I64" s="9" t="str">
        <f aca="false">VLOOKUP(B64,M:O,3,0)</f>
        <v>14:30</v>
      </c>
      <c r="J64" s="10" t="str">
        <f aca="false">VLOOKUP(B64,M:P,4,0)</f>
        <v>BONATE SOTTO VIA GIUSEPPE GARIBALDI 15 </v>
      </c>
      <c r="M64" s="0" t="s">
        <v>734</v>
      </c>
      <c r="N64" s="4" t="s">
        <v>69</v>
      </c>
      <c r="O64" s="18" t="n">
        <v>0.604166666666667</v>
      </c>
      <c r="P64" s="4" t="s">
        <v>722</v>
      </c>
    </row>
    <row r="65" customFormat="false" ht="12.5" hidden="false" customHeight="false" outlineLevel="0" collapsed="false">
      <c r="A65" s="12" t="n">
        <v>46081</v>
      </c>
      <c r="B65" s="0" t="s">
        <v>663</v>
      </c>
      <c r="C65" s="0" t="s">
        <v>665</v>
      </c>
      <c r="D65" s="0" t="s">
        <v>637</v>
      </c>
      <c r="E65" s="0" t="s">
        <v>183</v>
      </c>
      <c r="F65" s="0" t="n">
        <v>4</v>
      </c>
      <c r="G65" s="0" t="s">
        <v>553</v>
      </c>
      <c r="H65" s="0" t="s">
        <v>636</v>
      </c>
      <c r="I65" s="9" t="str">
        <f aca="false">VLOOKUP(B65,M:O,3,0)</f>
        <v>14:30</v>
      </c>
      <c r="J65" s="10" t="str">
        <f aca="false">VLOOKUP(B65,M:P,4,0)</f>
        <v>BREMBATE DI SOPRA VIA DON GIOVANNI SALA SNC </v>
      </c>
      <c r="K65" s="4"/>
      <c r="M65" s="4" t="s">
        <v>735</v>
      </c>
      <c r="N65" s="4" t="s">
        <v>69</v>
      </c>
      <c r="O65" s="18" t="n">
        <v>0.625</v>
      </c>
      <c r="P65" s="4" t="s">
        <v>736</v>
      </c>
    </row>
    <row r="66" customFormat="false" ht="12.5" hidden="false" customHeight="false" outlineLevel="0" collapsed="false">
      <c r="A66" s="12" t="n">
        <v>46081</v>
      </c>
      <c r="B66" s="0" t="s">
        <v>666</v>
      </c>
      <c r="C66" s="0" t="s">
        <v>659</v>
      </c>
      <c r="D66" s="0" t="s">
        <v>637</v>
      </c>
      <c r="E66" s="0" t="s">
        <v>183</v>
      </c>
      <c r="F66" s="0" t="n">
        <v>4</v>
      </c>
      <c r="G66" s="0" t="s">
        <v>553</v>
      </c>
      <c r="H66" s="0" t="s">
        <v>636</v>
      </c>
      <c r="I66" s="9" t="str">
        <f aca="false">VLOOKUP(B66,M:O,3,0)</f>
        <v>15:30</v>
      </c>
      <c r="J66" s="10" t="str">
        <f aca="false">VLOOKUP(B66,M:P,4,0)</f>
        <v>VILLA D'ALME' VIA RONCO BASSO 15 </v>
      </c>
      <c r="M66" s="0" t="s">
        <v>395</v>
      </c>
      <c r="N66" s="4" t="s">
        <v>69</v>
      </c>
      <c r="O66" s="18" t="n">
        <v>0.604166666666667</v>
      </c>
      <c r="P66" s="4" t="s">
        <v>737</v>
      </c>
    </row>
    <row r="67" s="4" customFormat="true" ht="12.5" hidden="false" customHeight="false" outlineLevel="0" collapsed="false">
      <c r="A67" s="19" t="n">
        <v>46088</v>
      </c>
      <c r="B67" s="4" t="s">
        <v>663</v>
      </c>
      <c r="C67" s="4" t="s">
        <v>571</v>
      </c>
      <c r="D67" s="4" t="s">
        <v>637</v>
      </c>
      <c r="E67" s="4" t="s">
        <v>364</v>
      </c>
      <c r="F67" s="4" t="n">
        <v>5</v>
      </c>
      <c r="G67" s="4" t="s">
        <v>553</v>
      </c>
      <c r="H67" s="4" t="s">
        <v>290</v>
      </c>
      <c r="I67" s="9" t="str">
        <f aca="false">VLOOKUP(B67,M:O,3,0)</f>
        <v>14:30</v>
      </c>
      <c r="J67" s="10" t="str">
        <f aca="false">VLOOKUP(B67,M:P,4,0)</f>
        <v>BREMBATE DI SOPRA VIA DON GIOVANNI SALA SNC </v>
      </c>
      <c r="M67" s="4" t="s">
        <v>393</v>
      </c>
      <c r="N67" s="4" t="s">
        <v>69</v>
      </c>
      <c r="O67" s="18" t="n">
        <v>0.604166666666667</v>
      </c>
      <c r="P67" s="4" t="s">
        <v>394</v>
      </c>
    </row>
    <row r="68" s="4" customFormat="true" ht="12.5" hidden="false" customHeight="false" outlineLevel="0" collapsed="false">
      <c r="A68" s="19" t="n">
        <v>46088</v>
      </c>
      <c r="B68" s="4" t="s">
        <v>440</v>
      </c>
      <c r="C68" s="4" t="s">
        <v>738</v>
      </c>
      <c r="D68" s="4" t="s">
        <v>637</v>
      </c>
      <c r="E68" s="4" t="s">
        <v>364</v>
      </c>
      <c r="F68" s="4" t="n">
        <v>5</v>
      </c>
      <c r="G68" s="4" t="s">
        <v>553</v>
      </c>
      <c r="H68" s="4" t="s">
        <v>290</v>
      </c>
      <c r="I68" s="9" t="str">
        <f aca="false">VLOOKUP(B68,M:O,3,0)</f>
        <v>15:00</v>
      </c>
      <c r="J68" s="10" t="str">
        <f aca="false">VLOOKUP(B68,M:P,4,0)</f>
        <v>CISANO BERGAMASCO VIA CA' DE' VOLPI N°7 </v>
      </c>
    </row>
    <row r="69" s="4" customFormat="true" ht="25" hidden="false" customHeight="false" outlineLevel="0" collapsed="false">
      <c r="A69" s="19" t="n">
        <v>46088</v>
      </c>
      <c r="B69" s="4" t="s">
        <v>654</v>
      </c>
      <c r="C69" s="4" t="s">
        <v>739</v>
      </c>
      <c r="D69" s="4" t="s">
        <v>637</v>
      </c>
      <c r="E69" s="4" t="s">
        <v>364</v>
      </c>
      <c r="F69" s="4" t="n">
        <v>5</v>
      </c>
      <c r="G69" s="4" t="s">
        <v>553</v>
      </c>
      <c r="H69" s="4" t="s">
        <v>290</v>
      </c>
      <c r="I69" s="9" t="str">
        <f aca="false">VLOOKUP(B69,M:O,3,0)</f>
        <v>11:00</v>
      </c>
      <c r="J69" s="10" t="str">
        <f aca="false">VLOOKUP(B69,M:P,4,0)</f>
        <v>FARA OLIVANA CON SOLA VIA VITTORIO EMANUELE SNC </v>
      </c>
    </row>
    <row r="70" s="4" customFormat="true" ht="12.5" hidden="false" customHeight="false" outlineLevel="0" collapsed="false">
      <c r="A70" s="19" t="n">
        <v>46088</v>
      </c>
      <c r="B70" s="4" t="s">
        <v>657</v>
      </c>
      <c r="C70" s="4" t="s">
        <v>499</v>
      </c>
      <c r="D70" s="4" t="s">
        <v>637</v>
      </c>
      <c r="E70" s="4" t="s">
        <v>364</v>
      </c>
      <c r="F70" s="4" t="n">
        <v>5</v>
      </c>
      <c r="G70" s="4" t="s">
        <v>553</v>
      </c>
      <c r="H70" s="4" t="s">
        <v>290</v>
      </c>
      <c r="I70" s="9" t="str">
        <f aca="false">VLOOKUP(B70,M:O,3,0)</f>
        <v>14:00</v>
      </c>
      <c r="J70" s="10" t="str">
        <f aca="false">VLOOKUP(B70,M:P,4,0)</f>
        <v>CARVICO VIA PEDRAZZI </v>
      </c>
    </row>
    <row r="71" s="4" customFormat="true" ht="12.5" hidden="false" customHeight="false" outlineLevel="0" collapsed="false">
      <c r="A71" s="19" t="n">
        <v>46088</v>
      </c>
      <c r="B71" s="4" t="s">
        <v>665</v>
      </c>
      <c r="C71" s="4" t="s">
        <v>407</v>
      </c>
      <c r="D71" s="4" t="s">
        <v>637</v>
      </c>
      <c r="E71" s="4" t="s">
        <v>364</v>
      </c>
      <c r="F71" s="4" t="n">
        <v>5</v>
      </c>
      <c r="G71" s="4" t="s">
        <v>553</v>
      </c>
      <c r="H71" s="4" t="s">
        <v>290</v>
      </c>
      <c r="I71" s="9" t="str">
        <f aca="false">VLOOKUP(B71,M:O,3,0)</f>
        <v>14:30</v>
      </c>
      <c r="J71" s="10" t="str">
        <f aca="false">VLOOKUP(B71,M:P,4,0)</f>
        <v>TREZZO SULL'ADDA VIA ROCCA 19 </v>
      </c>
    </row>
    <row r="72" s="4" customFormat="true" ht="12.5" hidden="false" customHeight="false" outlineLevel="0" collapsed="false">
      <c r="A72" s="19" t="n">
        <v>46095</v>
      </c>
      <c r="B72" s="4" t="s">
        <v>328</v>
      </c>
      <c r="C72" s="4" t="s">
        <v>740</v>
      </c>
      <c r="D72" s="4" t="s">
        <v>637</v>
      </c>
      <c r="E72" s="4" t="s">
        <v>364</v>
      </c>
      <c r="F72" s="4" t="n">
        <v>6</v>
      </c>
      <c r="G72" s="4" t="s">
        <v>553</v>
      </c>
      <c r="H72" s="4" t="s">
        <v>290</v>
      </c>
      <c r="I72" s="9" t="str">
        <f aca="false">VLOOKUP(B72,M:O,3,0)</f>
        <v>16:00</v>
      </c>
      <c r="J72" s="10" t="str">
        <f aca="false">VLOOKUP(B72,M:P,4,0)</f>
        <v>PONTE SAN PIETRO ZONA CLINICA VIA XXIV MAGGIO </v>
      </c>
    </row>
    <row r="73" s="4" customFormat="true" ht="12.5" hidden="false" customHeight="false" outlineLevel="0" collapsed="false">
      <c r="A73" s="19" t="n">
        <v>46095</v>
      </c>
      <c r="B73" s="4" t="s">
        <v>650</v>
      </c>
      <c r="C73" s="4" t="s">
        <v>417</v>
      </c>
      <c r="D73" s="4" t="s">
        <v>637</v>
      </c>
      <c r="E73" s="4" t="s">
        <v>364</v>
      </c>
      <c r="F73" s="4" t="n">
        <v>6</v>
      </c>
      <c r="G73" s="4" t="s">
        <v>553</v>
      </c>
      <c r="H73" s="4" t="s">
        <v>290</v>
      </c>
      <c r="I73" s="9" t="str">
        <f aca="false">VLOOKUP(B73,M:O,3,0)</f>
        <v>14:30</v>
      </c>
      <c r="J73" s="10" t="str">
        <f aca="false">VLOOKUP(B73,M:P,4,0)</f>
        <v>PALADINA VIA DEGLI ALPINI N.1 </v>
      </c>
    </row>
    <row r="74" s="4" customFormat="true" ht="12.5" hidden="false" customHeight="false" outlineLevel="0" collapsed="false">
      <c r="A74" s="19" t="n">
        <v>46095</v>
      </c>
      <c r="B74" s="4" t="s">
        <v>661</v>
      </c>
      <c r="C74" s="4" t="s">
        <v>386</v>
      </c>
      <c r="D74" s="4" t="s">
        <v>637</v>
      </c>
      <c r="E74" s="4" t="s">
        <v>364</v>
      </c>
      <c r="F74" s="4" t="n">
        <v>6</v>
      </c>
      <c r="G74" s="4" t="s">
        <v>553</v>
      </c>
      <c r="H74" s="4" t="s">
        <v>290</v>
      </c>
      <c r="I74" s="9" t="str">
        <f aca="false">VLOOKUP(B74,M:O,3,0)</f>
        <v>14:30</v>
      </c>
      <c r="J74" s="10" t="str">
        <f aca="false">VLOOKUP(B74,M:P,4,0)</f>
        <v>BONATE SOTTO VIA GIUSEPPE GARIBALDI 15 </v>
      </c>
    </row>
    <row r="75" s="4" customFormat="true" ht="12.5" hidden="false" customHeight="false" outlineLevel="0" collapsed="false">
      <c r="A75" s="19" t="n">
        <v>46095</v>
      </c>
      <c r="B75" s="4" t="s">
        <v>659</v>
      </c>
      <c r="C75" s="4" t="s">
        <v>741</v>
      </c>
      <c r="D75" s="4" t="s">
        <v>637</v>
      </c>
      <c r="E75" s="4" t="s">
        <v>364</v>
      </c>
      <c r="F75" s="4" t="n">
        <v>6</v>
      </c>
      <c r="G75" s="4" t="s">
        <v>553</v>
      </c>
      <c r="H75" s="4" t="s">
        <v>290</v>
      </c>
      <c r="I75" s="9" t="str">
        <f aca="false">VLOOKUP(B75,M:O,3,0)</f>
        <v>14:30</v>
      </c>
      <c r="J75" s="10" t="str">
        <f aca="false">VLOOKUP(B75,M:P,4,0)</f>
        <v>BREMBATE VIA MARCONI </v>
      </c>
    </row>
    <row r="76" s="4" customFormat="true" ht="12.5" hidden="false" customHeight="false" outlineLevel="0" collapsed="false">
      <c r="A76" s="19" t="n">
        <v>46095</v>
      </c>
      <c r="B76" s="4" t="s">
        <v>666</v>
      </c>
      <c r="C76" s="4" t="s">
        <v>353</v>
      </c>
      <c r="D76" s="4" t="s">
        <v>637</v>
      </c>
      <c r="E76" s="4" t="s">
        <v>364</v>
      </c>
      <c r="F76" s="4" t="n">
        <v>6</v>
      </c>
      <c r="G76" s="4" t="s">
        <v>553</v>
      </c>
      <c r="H76" s="4" t="s">
        <v>290</v>
      </c>
      <c r="I76" s="9" t="str">
        <f aca="false">VLOOKUP(B76,M:O,3,0)</f>
        <v>15:30</v>
      </c>
      <c r="J76" s="10" t="str">
        <f aca="false">VLOOKUP(B76,M:P,4,0)</f>
        <v>VILLA D'ALME' VIA RONCO BASSO 15 </v>
      </c>
    </row>
    <row r="77" s="4" customFormat="true" ht="12.5" hidden="false" customHeight="false" outlineLevel="0" collapsed="false">
      <c r="A77" s="19" t="n">
        <v>46102</v>
      </c>
      <c r="B77" s="4" t="s">
        <v>661</v>
      </c>
      <c r="C77" s="4" t="s">
        <v>571</v>
      </c>
      <c r="D77" s="4" t="s">
        <v>637</v>
      </c>
      <c r="E77" s="4" t="s">
        <v>364</v>
      </c>
      <c r="F77" s="4" t="n">
        <v>7</v>
      </c>
      <c r="G77" s="4" t="s">
        <v>553</v>
      </c>
      <c r="H77" s="4" t="s">
        <v>290</v>
      </c>
      <c r="I77" s="9" t="str">
        <f aca="false">VLOOKUP(B77,M:O,3,0)</f>
        <v>14:30</v>
      </c>
      <c r="J77" s="10" t="str">
        <f aca="false">VLOOKUP(B77,M:P,4,0)</f>
        <v>BONATE SOTTO VIA GIUSEPPE GARIBALDI 15 </v>
      </c>
    </row>
    <row r="78" s="4" customFormat="true" ht="12.5" hidden="false" customHeight="false" outlineLevel="0" collapsed="false">
      <c r="A78" s="19" t="n">
        <v>46102</v>
      </c>
      <c r="B78" s="4" t="s">
        <v>663</v>
      </c>
      <c r="C78" s="4" t="s">
        <v>499</v>
      </c>
      <c r="D78" s="4" t="s">
        <v>637</v>
      </c>
      <c r="E78" s="4" t="s">
        <v>364</v>
      </c>
      <c r="F78" s="4" t="n">
        <v>7</v>
      </c>
      <c r="G78" s="4" t="s">
        <v>553</v>
      </c>
      <c r="H78" s="4" t="s">
        <v>290</v>
      </c>
      <c r="I78" s="9" t="str">
        <f aca="false">VLOOKUP(B78,M:O,3,0)</f>
        <v>14:30</v>
      </c>
      <c r="J78" s="10" t="str">
        <f aca="false">VLOOKUP(B78,M:P,4,0)</f>
        <v>BREMBATE DI SOPRA VIA DON GIOVANNI SALA SNC </v>
      </c>
    </row>
    <row r="79" s="4" customFormat="true" ht="25" hidden="false" customHeight="false" outlineLevel="0" collapsed="false">
      <c r="A79" s="19" t="n">
        <v>46102</v>
      </c>
      <c r="B79" s="4" t="s">
        <v>654</v>
      </c>
      <c r="C79" s="4" t="s">
        <v>353</v>
      </c>
      <c r="D79" s="4" t="s">
        <v>637</v>
      </c>
      <c r="E79" s="4" t="s">
        <v>364</v>
      </c>
      <c r="F79" s="4" t="n">
        <v>7</v>
      </c>
      <c r="G79" s="4" t="s">
        <v>553</v>
      </c>
      <c r="H79" s="4" t="s">
        <v>290</v>
      </c>
      <c r="I79" s="9" t="str">
        <f aca="false">VLOOKUP(B79,M:O,3,0)</f>
        <v>11:00</v>
      </c>
      <c r="J79" s="10" t="str">
        <f aca="false">VLOOKUP(B79,M:P,4,0)</f>
        <v>FARA OLIVANA CON SOLA VIA VITTORIO EMANUELE SNC </v>
      </c>
    </row>
    <row r="80" s="4" customFormat="true" ht="12.5" hidden="false" customHeight="false" outlineLevel="0" collapsed="false">
      <c r="A80" s="19" t="n">
        <v>46102</v>
      </c>
      <c r="B80" s="4" t="s">
        <v>657</v>
      </c>
      <c r="C80" s="4" t="s">
        <v>738</v>
      </c>
      <c r="D80" s="4" t="s">
        <v>637</v>
      </c>
      <c r="E80" s="4" t="s">
        <v>364</v>
      </c>
      <c r="F80" s="4" t="n">
        <v>7</v>
      </c>
      <c r="G80" s="4" t="s">
        <v>553</v>
      </c>
      <c r="H80" s="4" t="s">
        <v>290</v>
      </c>
      <c r="I80" s="9" t="str">
        <f aca="false">VLOOKUP(B80,M:O,3,0)</f>
        <v>14:00</v>
      </c>
      <c r="J80" s="10" t="str">
        <f aca="false">VLOOKUP(B80,M:P,4,0)</f>
        <v>CARVICO VIA PEDRAZZI </v>
      </c>
    </row>
    <row r="81" s="4" customFormat="true" ht="12.5" hidden="false" customHeight="false" outlineLevel="0" collapsed="false">
      <c r="A81" s="19" t="n">
        <v>46102</v>
      </c>
      <c r="B81" s="4" t="s">
        <v>665</v>
      </c>
      <c r="C81" s="4" t="s">
        <v>739</v>
      </c>
      <c r="D81" s="4" t="s">
        <v>637</v>
      </c>
      <c r="E81" s="4" t="s">
        <v>364</v>
      </c>
      <c r="F81" s="4" t="n">
        <v>7</v>
      </c>
      <c r="G81" s="4" t="s">
        <v>553</v>
      </c>
      <c r="H81" s="4" t="s">
        <v>290</v>
      </c>
      <c r="I81" s="9" t="str">
        <f aca="false">VLOOKUP(B81,M:O,3,0)</f>
        <v>14:30</v>
      </c>
      <c r="J81" s="10" t="str">
        <f aca="false">VLOOKUP(B81,M:P,4,0)</f>
        <v>TREZZO SULL'ADDA VIA ROCCA 19 </v>
      </c>
    </row>
    <row r="82" s="4" customFormat="true" ht="12.5" hidden="false" customHeight="false" outlineLevel="0" collapsed="false">
      <c r="A82" s="19" t="n">
        <v>46109</v>
      </c>
      <c r="B82" s="4" t="s">
        <v>328</v>
      </c>
      <c r="C82" s="4" t="s">
        <v>407</v>
      </c>
      <c r="D82" s="4" t="s">
        <v>637</v>
      </c>
      <c r="E82" s="4" t="s">
        <v>364</v>
      </c>
      <c r="F82" s="4" t="n">
        <v>8</v>
      </c>
      <c r="G82" s="4" t="s">
        <v>553</v>
      </c>
      <c r="H82" s="4" t="s">
        <v>290</v>
      </c>
      <c r="I82" s="9" t="str">
        <f aca="false">VLOOKUP(B82,M:O,3,0)</f>
        <v>16:00</v>
      </c>
      <c r="J82" s="10" t="str">
        <f aca="false">VLOOKUP(B82,M:P,4,0)</f>
        <v>PONTE SAN PIETRO ZONA CLINICA VIA XXIV MAGGIO </v>
      </c>
    </row>
    <row r="83" s="4" customFormat="true" ht="12.5" hidden="false" customHeight="false" outlineLevel="0" collapsed="false">
      <c r="A83" s="19" t="n">
        <v>46109</v>
      </c>
      <c r="B83" s="4" t="s">
        <v>650</v>
      </c>
      <c r="C83" s="4" t="s">
        <v>386</v>
      </c>
      <c r="D83" s="4" t="s">
        <v>637</v>
      </c>
      <c r="E83" s="4" t="s">
        <v>364</v>
      </c>
      <c r="F83" s="4" t="n">
        <v>8</v>
      </c>
      <c r="G83" s="4" t="s">
        <v>553</v>
      </c>
      <c r="H83" s="4" t="s">
        <v>290</v>
      </c>
      <c r="I83" s="9" t="str">
        <f aca="false">VLOOKUP(B83,M:O,3,0)</f>
        <v>14:30</v>
      </c>
      <c r="J83" s="10" t="str">
        <f aca="false">VLOOKUP(B83,M:P,4,0)</f>
        <v>PALADINA VIA DEGLI ALPINI N.1 </v>
      </c>
    </row>
    <row r="84" s="4" customFormat="true" ht="12.5" hidden="false" customHeight="false" outlineLevel="0" collapsed="false">
      <c r="A84" s="19" t="n">
        <v>46109</v>
      </c>
      <c r="B84" s="4" t="s">
        <v>440</v>
      </c>
      <c r="C84" s="4" t="s">
        <v>417</v>
      </c>
      <c r="D84" s="4" t="s">
        <v>637</v>
      </c>
      <c r="E84" s="4" t="s">
        <v>364</v>
      </c>
      <c r="F84" s="4" t="n">
        <v>8</v>
      </c>
      <c r="G84" s="4" t="s">
        <v>553</v>
      </c>
      <c r="H84" s="4" t="s">
        <v>290</v>
      </c>
      <c r="I84" s="9" t="str">
        <f aca="false">VLOOKUP(B84,M:O,3,0)</f>
        <v>15:00</v>
      </c>
      <c r="J84" s="10" t="str">
        <f aca="false">VLOOKUP(B84,M:P,4,0)</f>
        <v>CISANO BERGAMASCO VIA CA' DE' VOLPI N°7 </v>
      </c>
    </row>
    <row r="85" s="4" customFormat="true" ht="25" hidden="false" customHeight="false" outlineLevel="0" collapsed="false">
      <c r="A85" s="19" t="n">
        <v>46109</v>
      </c>
      <c r="B85" s="4" t="s">
        <v>654</v>
      </c>
      <c r="C85" s="4" t="s">
        <v>571</v>
      </c>
      <c r="D85" s="4" t="s">
        <v>637</v>
      </c>
      <c r="E85" s="4" t="s">
        <v>364</v>
      </c>
      <c r="F85" s="4" t="n">
        <v>8</v>
      </c>
      <c r="G85" s="4" t="s">
        <v>553</v>
      </c>
      <c r="H85" s="4" t="s">
        <v>290</v>
      </c>
      <c r="I85" s="9" t="str">
        <f aca="false">VLOOKUP(B85,M:O,3,0)</f>
        <v>11:00</v>
      </c>
      <c r="J85" s="10" t="str">
        <f aca="false">VLOOKUP(B85,M:P,4,0)</f>
        <v>FARA OLIVANA CON SOLA VIA VITTORIO EMANUELE SNC </v>
      </c>
    </row>
    <row r="86" s="4" customFormat="true" ht="12.5" hidden="false" customHeight="false" outlineLevel="0" collapsed="false">
      <c r="A86" s="19" t="n">
        <v>46109</v>
      </c>
      <c r="B86" s="4" t="s">
        <v>659</v>
      </c>
      <c r="C86" s="4" t="s">
        <v>740</v>
      </c>
      <c r="D86" s="4" t="s">
        <v>637</v>
      </c>
      <c r="E86" s="4" t="s">
        <v>364</v>
      </c>
      <c r="F86" s="4" t="n">
        <v>8</v>
      </c>
      <c r="G86" s="4" t="s">
        <v>553</v>
      </c>
      <c r="H86" s="4" t="s">
        <v>290</v>
      </c>
      <c r="I86" s="9" t="str">
        <f aca="false">VLOOKUP(B86,M:O,3,0)</f>
        <v>14:30</v>
      </c>
      <c r="J86" s="10" t="str">
        <f aca="false">VLOOKUP(B86,M:P,4,0)</f>
        <v>BREMBATE VIA MARCONI </v>
      </c>
    </row>
    <row r="87" s="4" customFormat="true" ht="12.5" hidden="false" customHeight="false" outlineLevel="0" collapsed="false">
      <c r="A87" s="19" t="n">
        <v>46123</v>
      </c>
      <c r="B87" s="4" t="s">
        <v>661</v>
      </c>
      <c r="C87" s="4" t="s">
        <v>739</v>
      </c>
      <c r="D87" s="4" t="s">
        <v>637</v>
      </c>
      <c r="E87" s="4" t="s">
        <v>364</v>
      </c>
      <c r="F87" s="4" t="n">
        <v>9</v>
      </c>
      <c r="G87" s="4" t="s">
        <v>553</v>
      </c>
      <c r="H87" s="4" t="s">
        <v>290</v>
      </c>
      <c r="I87" s="9" t="str">
        <f aca="false">VLOOKUP(B87,M:O,3,0)</f>
        <v>14:30</v>
      </c>
      <c r="J87" s="10" t="str">
        <f aca="false">VLOOKUP(B87,M:P,4,0)</f>
        <v>BONATE SOTTO VIA GIUSEPPE GARIBALDI 15 </v>
      </c>
    </row>
    <row r="88" s="4" customFormat="true" ht="12.5" hidden="false" customHeight="false" outlineLevel="0" collapsed="false">
      <c r="A88" s="19" t="n">
        <v>46123</v>
      </c>
      <c r="B88" s="4" t="s">
        <v>663</v>
      </c>
      <c r="C88" s="4" t="s">
        <v>738</v>
      </c>
      <c r="D88" s="4" t="s">
        <v>637</v>
      </c>
      <c r="E88" s="4" t="s">
        <v>364</v>
      </c>
      <c r="F88" s="4" t="n">
        <v>9</v>
      </c>
      <c r="G88" s="4" t="s">
        <v>553</v>
      </c>
      <c r="H88" s="4" t="s">
        <v>290</v>
      </c>
      <c r="I88" s="9" t="str">
        <f aca="false">VLOOKUP(B88,M:O,3,0)</f>
        <v>14:30</v>
      </c>
      <c r="J88" s="10" t="str">
        <f aca="false">VLOOKUP(B88,M:P,4,0)</f>
        <v>BREMBATE DI SOPRA VIA DON GIOVANNI SALA SNC </v>
      </c>
    </row>
    <row r="89" s="4" customFormat="true" ht="12.5" hidden="false" customHeight="false" outlineLevel="0" collapsed="false">
      <c r="A89" s="19" t="n">
        <v>46123</v>
      </c>
      <c r="B89" s="4" t="s">
        <v>657</v>
      </c>
      <c r="C89" s="4" t="s">
        <v>741</v>
      </c>
      <c r="D89" s="4" t="s">
        <v>637</v>
      </c>
      <c r="E89" s="4" t="s">
        <v>364</v>
      </c>
      <c r="F89" s="4" t="n">
        <v>9</v>
      </c>
      <c r="G89" s="4" t="s">
        <v>553</v>
      </c>
      <c r="H89" s="4" t="s">
        <v>290</v>
      </c>
      <c r="I89" s="9" t="str">
        <f aca="false">VLOOKUP(B89,M:O,3,0)</f>
        <v>14:00</v>
      </c>
      <c r="J89" s="10" t="str">
        <f aca="false">VLOOKUP(B89,M:P,4,0)</f>
        <v>CARVICO VIA PEDRAZZI </v>
      </c>
    </row>
    <row r="90" s="4" customFormat="true" ht="12.5" hidden="false" customHeight="false" outlineLevel="0" collapsed="false">
      <c r="A90" s="19" t="n">
        <v>46123</v>
      </c>
      <c r="B90" s="4" t="s">
        <v>665</v>
      </c>
      <c r="C90" s="4" t="s">
        <v>353</v>
      </c>
      <c r="D90" s="4" t="s">
        <v>637</v>
      </c>
      <c r="E90" s="4" t="s">
        <v>364</v>
      </c>
      <c r="F90" s="4" t="n">
        <v>9</v>
      </c>
      <c r="G90" s="4" t="s">
        <v>553</v>
      </c>
      <c r="H90" s="4" t="s">
        <v>290</v>
      </c>
      <c r="I90" s="9" t="str">
        <f aca="false">VLOOKUP(B90,M:O,3,0)</f>
        <v>14:30</v>
      </c>
      <c r="J90" s="10" t="str">
        <f aca="false">VLOOKUP(B90,M:P,4,0)</f>
        <v>TREZZO SULL'ADDA VIA ROCCA 19 </v>
      </c>
    </row>
    <row r="91" s="4" customFormat="true" ht="12.5" hidden="false" customHeight="false" outlineLevel="0" collapsed="false">
      <c r="A91" s="19" t="n">
        <v>46123</v>
      </c>
      <c r="B91" s="4" t="s">
        <v>666</v>
      </c>
      <c r="C91" s="4" t="s">
        <v>499</v>
      </c>
      <c r="D91" s="4" t="s">
        <v>637</v>
      </c>
      <c r="E91" s="4" t="s">
        <v>364</v>
      </c>
      <c r="F91" s="4" t="n">
        <v>9</v>
      </c>
      <c r="G91" s="4" t="s">
        <v>553</v>
      </c>
      <c r="H91" s="4" t="s">
        <v>290</v>
      </c>
      <c r="I91" s="9" t="str">
        <f aca="false">VLOOKUP(B91,M:O,3,0)</f>
        <v>15:30</v>
      </c>
      <c r="J91" s="10" t="str">
        <f aca="false">VLOOKUP(B91,M:P,4,0)</f>
        <v>VILLA D'ALME' VIA RONCO BASSO 15 </v>
      </c>
    </row>
    <row r="92" customFormat="false" ht="12.5" hidden="false" customHeight="false" outlineLevel="0" collapsed="false">
      <c r="A92" s="12" t="n">
        <v>46060</v>
      </c>
      <c r="B92" s="0" t="s">
        <v>340</v>
      </c>
      <c r="C92" s="0" t="s">
        <v>677</v>
      </c>
      <c r="D92" s="0" t="s">
        <v>637</v>
      </c>
      <c r="E92" s="0" t="s">
        <v>388</v>
      </c>
      <c r="F92" s="0" t="n">
        <v>1</v>
      </c>
      <c r="G92" s="0" t="s">
        <v>553</v>
      </c>
      <c r="H92" s="0" t="s">
        <v>742</v>
      </c>
      <c r="I92" s="9" t="str">
        <f aca="false">VLOOKUP(B92,M:O,3,0)</f>
        <v>14:30</v>
      </c>
      <c r="J92" s="10" t="str">
        <f aca="false">VLOOKUP(B92,M:P,4,0)</f>
        <v>TREVIGLIO VIA MILANO N.7 </v>
      </c>
    </row>
    <row r="93" customFormat="false" ht="12.5" hidden="false" customHeight="false" outlineLevel="0" collapsed="false">
      <c r="A93" s="12" t="n">
        <v>46060</v>
      </c>
      <c r="B93" s="0" t="s">
        <v>344</v>
      </c>
      <c r="C93" s="0" t="s">
        <v>679</v>
      </c>
      <c r="D93" s="0" t="s">
        <v>637</v>
      </c>
      <c r="E93" s="0" t="s">
        <v>388</v>
      </c>
      <c r="F93" s="0" t="n">
        <v>1</v>
      </c>
      <c r="G93" s="0" t="s">
        <v>553</v>
      </c>
      <c r="H93" s="0" t="s">
        <v>742</v>
      </c>
      <c r="I93" s="9" t="str">
        <f aca="false">VLOOKUP(B93,M:O,3,0)</f>
        <v>14:30</v>
      </c>
      <c r="J93" s="10" t="str">
        <f aca="false">VLOOKUP(B93,M:P,4,0)</f>
        <v>COLOGNO AL SERIO VIA DELLE GALOSE SNC </v>
      </c>
    </row>
    <row r="94" customFormat="false" ht="25" hidden="false" customHeight="false" outlineLevel="0" collapsed="false">
      <c r="A94" s="12" t="n">
        <v>46061</v>
      </c>
      <c r="B94" s="0" t="s">
        <v>671</v>
      </c>
      <c r="C94" s="0" t="s">
        <v>387</v>
      </c>
      <c r="D94" s="0" t="s">
        <v>637</v>
      </c>
      <c r="E94" s="0" t="s">
        <v>388</v>
      </c>
      <c r="F94" s="0" t="n">
        <v>1</v>
      </c>
      <c r="G94" s="0" t="s">
        <v>553</v>
      </c>
      <c r="H94" s="0" t="s">
        <v>742</v>
      </c>
      <c r="I94" s="9" t="n">
        <f aca="false">VLOOKUP(B94,M:O,3,0)</f>
        <v>0.447916666666667</v>
      </c>
      <c r="J94" s="10" t="str">
        <f aca="false">VLOOKUP(B94,M:P,4,0)</f>
        <v>FARA OLIVANA CON SOLA VIA VITTORIO EMANUELE SNC </v>
      </c>
    </row>
    <row r="95" customFormat="false" ht="12.5" hidden="false" customHeight="false" outlineLevel="0" collapsed="false">
      <c r="A95" s="12" t="n">
        <v>46060</v>
      </c>
      <c r="B95" s="0" t="s">
        <v>672</v>
      </c>
      <c r="C95" s="0" t="s">
        <v>682</v>
      </c>
      <c r="D95" s="0" t="s">
        <v>637</v>
      </c>
      <c r="E95" s="0" t="s">
        <v>388</v>
      </c>
      <c r="F95" s="0" t="n">
        <v>1</v>
      </c>
      <c r="G95" s="0" t="s">
        <v>553</v>
      </c>
      <c r="H95" s="0" t="s">
        <v>742</v>
      </c>
      <c r="I95" s="9" t="str">
        <f aca="false">VLOOKUP(B95,M:O,3,0)</f>
        <v>14:30</v>
      </c>
      <c r="J95" s="10" t="str">
        <f aca="false">VLOOKUP(B95,M:P,4,0)</f>
        <v>MARTINENGO VIA DE GASPERI </v>
      </c>
    </row>
    <row r="96" customFormat="false" ht="12.5" hidden="false" customHeight="false" outlineLevel="0" collapsed="false">
      <c r="A96" s="12" t="n">
        <v>46060</v>
      </c>
      <c r="B96" s="0" t="s">
        <v>348</v>
      </c>
      <c r="C96" s="0" t="s">
        <v>676</v>
      </c>
      <c r="D96" s="0" t="s">
        <v>637</v>
      </c>
      <c r="E96" s="0" t="s">
        <v>388</v>
      </c>
      <c r="F96" s="0" t="n">
        <v>1</v>
      </c>
      <c r="G96" s="0" t="s">
        <v>553</v>
      </c>
      <c r="H96" s="0" t="s">
        <v>742</v>
      </c>
      <c r="I96" s="9" t="str">
        <f aca="false">VLOOKUP(B96,M:O,3,0)</f>
        <v>14:30</v>
      </c>
      <c r="J96" s="10" t="str">
        <f aca="false">VLOOKUP(B96,M:P,4,0)</f>
        <v>TREVIGLIO VIA AI MALGARI 1 </v>
      </c>
    </row>
    <row r="97" customFormat="false" ht="12.5" hidden="false" customHeight="false" outlineLevel="0" collapsed="false">
      <c r="A97" s="12" t="n">
        <v>46067</v>
      </c>
      <c r="B97" s="0" t="s">
        <v>387</v>
      </c>
      <c r="C97" s="0" t="s">
        <v>344</v>
      </c>
      <c r="D97" s="0" t="s">
        <v>637</v>
      </c>
      <c r="E97" s="0" t="s">
        <v>388</v>
      </c>
      <c r="F97" s="0" t="n">
        <v>2</v>
      </c>
      <c r="G97" s="0" t="s">
        <v>553</v>
      </c>
      <c r="H97" s="0" t="s">
        <v>742</v>
      </c>
      <c r="I97" s="9" t="str">
        <f aca="false">VLOOKUP(B97,M:O,3,0)</f>
        <v>14:15</v>
      </c>
      <c r="J97" s="10" t="str">
        <f aca="false">VLOOKUP(B97,M:P,4,0)</f>
        <v>MAPELLO VIA DEL LAZZARINO 1 </v>
      </c>
    </row>
    <row r="98" customFormat="false" ht="12.5" hidden="false" customHeight="false" outlineLevel="0" collapsed="false">
      <c r="A98" s="12" t="n">
        <v>46067</v>
      </c>
      <c r="B98" s="0" t="s">
        <v>676</v>
      </c>
      <c r="C98" s="0" t="s">
        <v>671</v>
      </c>
      <c r="D98" s="0" t="s">
        <v>637</v>
      </c>
      <c r="E98" s="0" t="s">
        <v>388</v>
      </c>
      <c r="F98" s="0" t="n">
        <v>2</v>
      </c>
      <c r="G98" s="0" t="s">
        <v>553</v>
      </c>
      <c r="H98" s="0" t="s">
        <v>742</v>
      </c>
      <c r="I98" s="9" t="str">
        <f aca="false">VLOOKUP(B98,M:O,3,0)</f>
        <v>15:45</v>
      </c>
      <c r="J98" s="10" t="str">
        <f aca="false">VLOOKUP(B98,M:P,4,0)</f>
        <v>BONATE SOTTO VIA GIUSEPPE GARIBALDI 15 </v>
      </c>
    </row>
    <row r="99" customFormat="false" ht="12.5" hidden="false" customHeight="false" outlineLevel="0" collapsed="false">
      <c r="A99" s="12" t="n">
        <v>46067</v>
      </c>
      <c r="B99" s="0" t="s">
        <v>677</v>
      </c>
      <c r="C99" s="0" t="s">
        <v>348</v>
      </c>
      <c r="D99" s="0" t="s">
        <v>637</v>
      </c>
      <c r="E99" s="0" t="s">
        <v>388</v>
      </c>
      <c r="F99" s="0" t="n">
        <v>2</v>
      </c>
      <c r="G99" s="0" t="s">
        <v>553</v>
      </c>
      <c r="H99" s="0" t="s">
        <v>742</v>
      </c>
      <c r="I99" s="9" t="str">
        <f aca="false">VLOOKUP(B99,M:O,3,0)</f>
        <v>15:30</v>
      </c>
      <c r="J99" s="10" t="str">
        <f aca="false">VLOOKUP(B99,M:P,4,0)</f>
        <v>PONTIROLO NUOVO VIA ARMANDO DIAZ 22 </v>
      </c>
    </row>
    <row r="100" customFormat="false" ht="25" hidden="false" customHeight="false" outlineLevel="0" collapsed="false">
      <c r="A100" s="12" t="n">
        <v>46067</v>
      </c>
      <c r="B100" s="0" t="s">
        <v>679</v>
      </c>
      <c r="C100" s="0" t="s">
        <v>672</v>
      </c>
      <c r="D100" s="0" t="s">
        <v>637</v>
      </c>
      <c r="E100" s="0" t="s">
        <v>388</v>
      </c>
      <c r="F100" s="0" t="n">
        <v>2</v>
      </c>
      <c r="G100" s="0" t="s">
        <v>553</v>
      </c>
      <c r="H100" s="0" t="s">
        <v>742</v>
      </c>
      <c r="I100" s="9" t="str">
        <f aca="false">VLOOKUP(B100,M:O,3,0)</f>
        <v>17:15</v>
      </c>
      <c r="J100" s="10" t="str">
        <f aca="false">VLOOKUP(B100,M:P,4,0)</f>
        <v>COLOGNO AL SERIO VIA DELLE GALOSE/BETOSCA(E.A.) </v>
      </c>
    </row>
    <row r="101" customFormat="false" ht="12.5" hidden="false" customHeight="false" outlineLevel="0" collapsed="false">
      <c r="A101" s="12" t="n">
        <v>46067</v>
      </c>
      <c r="B101" s="0" t="s">
        <v>682</v>
      </c>
      <c r="C101" s="0" t="s">
        <v>340</v>
      </c>
      <c r="D101" s="0" t="s">
        <v>637</v>
      </c>
      <c r="E101" s="0" t="s">
        <v>388</v>
      </c>
      <c r="F101" s="0" t="n">
        <v>2</v>
      </c>
      <c r="G101" s="0" t="s">
        <v>553</v>
      </c>
      <c r="H101" s="0" t="s">
        <v>742</v>
      </c>
      <c r="I101" s="9" t="str">
        <f aca="false">VLOOKUP(B101,M:O,3,0)</f>
        <v>14:00</v>
      </c>
      <c r="J101" s="10" t="str">
        <f aca="false">VLOOKUP(B101,M:P,4,0)</f>
        <v>ZANICA P.LE MERCATO 1 </v>
      </c>
    </row>
    <row r="102" customFormat="false" ht="25" hidden="false" customHeight="false" outlineLevel="0" collapsed="false">
      <c r="A102" s="12" t="n">
        <v>46074</v>
      </c>
      <c r="B102" s="0" t="s">
        <v>679</v>
      </c>
      <c r="C102" s="0" t="s">
        <v>682</v>
      </c>
      <c r="D102" s="0" t="s">
        <v>637</v>
      </c>
      <c r="E102" s="0" t="s">
        <v>388</v>
      </c>
      <c r="F102" s="0" t="n">
        <v>3</v>
      </c>
      <c r="G102" s="0" t="s">
        <v>553</v>
      </c>
      <c r="H102" s="0" t="s">
        <v>742</v>
      </c>
      <c r="I102" s="9" t="str">
        <f aca="false">VLOOKUP(B102,M:O,3,0)</f>
        <v>17:15</v>
      </c>
      <c r="J102" s="10" t="str">
        <f aca="false">VLOOKUP(B102,M:P,4,0)</f>
        <v>COLOGNO AL SERIO VIA DELLE GALOSE/BETOSCA(E.A.) </v>
      </c>
    </row>
    <row r="103" customFormat="false" ht="12.5" hidden="false" customHeight="false" outlineLevel="0" collapsed="false">
      <c r="A103" s="12" t="n">
        <v>46074</v>
      </c>
      <c r="B103" s="0" t="s">
        <v>344</v>
      </c>
      <c r="C103" s="0" t="s">
        <v>676</v>
      </c>
      <c r="D103" s="0" t="s">
        <v>637</v>
      </c>
      <c r="E103" s="0" t="s">
        <v>388</v>
      </c>
      <c r="F103" s="0" t="n">
        <v>3</v>
      </c>
      <c r="G103" s="0" t="s">
        <v>553</v>
      </c>
      <c r="H103" s="0" t="s">
        <v>742</v>
      </c>
      <c r="I103" s="9" t="str">
        <f aca="false">VLOOKUP(B103,M:O,3,0)</f>
        <v>14:30</v>
      </c>
      <c r="J103" s="10" t="str">
        <f aca="false">VLOOKUP(B103,M:P,4,0)</f>
        <v>COLOGNO AL SERIO VIA DELLE GALOSE SNC </v>
      </c>
    </row>
    <row r="104" customFormat="false" ht="25" hidden="false" customHeight="false" outlineLevel="0" collapsed="false">
      <c r="A104" s="12" t="n">
        <v>46075</v>
      </c>
      <c r="B104" s="0" t="s">
        <v>671</v>
      </c>
      <c r="C104" s="0" t="s">
        <v>677</v>
      </c>
      <c r="D104" s="0" t="s">
        <v>637</v>
      </c>
      <c r="E104" s="0" t="s">
        <v>388</v>
      </c>
      <c r="F104" s="0" t="n">
        <v>3</v>
      </c>
      <c r="G104" s="0" t="s">
        <v>553</v>
      </c>
      <c r="H104" s="0" t="s">
        <v>742</v>
      </c>
      <c r="I104" s="9" t="n">
        <f aca="false">VLOOKUP(B104,M:O,3,0)</f>
        <v>0.447916666666667</v>
      </c>
      <c r="J104" s="10" t="str">
        <f aca="false">VLOOKUP(B104,M:P,4,0)</f>
        <v>FARA OLIVANA CON SOLA VIA VITTORIO EMANUELE SNC </v>
      </c>
    </row>
    <row r="105" customFormat="false" ht="12.5" hidden="false" customHeight="false" outlineLevel="0" collapsed="false">
      <c r="A105" s="12" t="n">
        <v>46074</v>
      </c>
      <c r="B105" s="0" t="s">
        <v>672</v>
      </c>
      <c r="C105" s="0" t="s">
        <v>387</v>
      </c>
      <c r="D105" s="0" t="s">
        <v>637</v>
      </c>
      <c r="E105" s="0" t="s">
        <v>388</v>
      </c>
      <c r="F105" s="0" t="n">
        <v>3</v>
      </c>
      <c r="G105" s="0" t="s">
        <v>553</v>
      </c>
      <c r="H105" s="0" t="s">
        <v>742</v>
      </c>
      <c r="I105" s="9" t="str">
        <f aca="false">VLOOKUP(B105,M:O,3,0)</f>
        <v>14:30</v>
      </c>
      <c r="J105" s="10" t="str">
        <f aca="false">VLOOKUP(B105,M:P,4,0)</f>
        <v>MARTINENGO VIA DE GASPERI </v>
      </c>
    </row>
    <row r="106" customFormat="false" ht="12.5" hidden="false" customHeight="false" outlineLevel="0" collapsed="false">
      <c r="A106" s="12" t="n">
        <v>46074</v>
      </c>
      <c r="B106" s="0" t="s">
        <v>348</v>
      </c>
      <c r="C106" s="0" t="s">
        <v>340</v>
      </c>
      <c r="D106" s="0" t="s">
        <v>637</v>
      </c>
      <c r="E106" s="0" t="s">
        <v>388</v>
      </c>
      <c r="F106" s="0" t="n">
        <v>3</v>
      </c>
      <c r="G106" s="0" t="s">
        <v>553</v>
      </c>
      <c r="H106" s="0" t="s">
        <v>742</v>
      </c>
      <c r="I106" s="9" t="str">
        <f aca="false">VLOOKUP(B106,M:O,3,0)</f>
        <v>14:30</v>
      </c>
      <c r="J106" s="10" t="str">
        <f aca="false">VLOOKUP(B106,M:P,4,0)</f>
        <v>TREVIGLIO VIA AI MALGARI 1 </v>
      </c>
    </row>
    <row r="107" customFormat="false" ht="12.5" hidden="false" customHeight="false" outlineLevel="0" collapsed="false">
      <c r="A107" s="12" t="n">
        <v>46081</v>
      </c>
      <c r="B107" s="0" t="s">
        <v>387</v>
      </c>
      <c r="C107" s="0" t="s">
        <v>679</v>
      </c>
      <c r="D107" s="0" t="s">
        <v>637</v>
      </c>
      <c r="E107" s="0" t="s">
        <v>388</v>
      </c>
      <c r="F107" s="0" t="n">
        <v>4</v>
      </c>
      <c r="G107" s="0" t="s">
        <v>553</v>
      </c>
      <c r="H107" s="0" t="s">
        <v>742</v>
      </c>
      <c r="I107" s="9" t="str">
        <f aca="false">VLOOKUP(B107,M:O,3,0)</f>
        <v>14:15</v>
      </c>
      <c r="J107" s="10" t="str">
        <f aca="false">VLOOKUP(B107,M:P,4,0)</f>
        <v>MAPELLO VIA DEL LAZZARINO 1 </v>
      </c>
    </row>
    <row r="108" customFormat="false" ht="12.5" hidden="false" customHeight="false" outlineLevel="0" collapsed="false">
      <c r="A108" s="12" t="n">
        <v>46081</v>
      </c>
      <c r="B108" s="0" t="s">
        <v>340</v>
      </c>
      <c r="C108" s="0" t="s">
        <v>671</v>
      </c>
      <c r="D108" s="0" t="s">
        <v>637</v>
      </c>
      <c r="E108" s="0" t="s">
        <v>388</v>
      </c>
      <c r="F108" s="0" t="n">
        <v>4</v>
      </c>
      <c r="G108" s="0" t="s">
        <v>553</v>
      </c>
      <c r="H108" s="0" t="s">
        <v>742</v>
      </c>
      <c r="I108" s="9" t="str">
        <f aca="false">VLOOKUP(B108,M:O,3,0)</f>
        <v>14:30</v>
      </c>
      <c r="J108" s="10" t="str">
        <f aca="false">VLOOKUP(B108,M:P,4,0)</f>
        <v>TREVIGLIO VIA MILANO N.7 </v>
      </c>
    </row>
    <row r="109" customFormat="false" ht="12.5" hidden="false" customHeight="false" outlineLevel="0" collapsed="false">
      <c r="A109" s="12" t="n">
        <v>46081</v>
      </c>
      <c r="B109" s="0" t="s">
        <v>676</v>
      </c>
      <c r="C109" s="0" t="s">
        <v>672</v>
      </c>
      <c r="D109" s="0" t="s">
        <v>637</v>
      </c>
      <c r="E109" s="0" t="s">
        <v>388</v>
      </c>
      <c r="F109" s="0" t="n">
        <v>4</v>
      </c>
      <c r="G109" s="0" t="s">
        <v>553</v>
      </c>
      <c r="H109" s="0" t="s">
        <v>742</v>
      </c>
      <c r="I109" s="9" t="str">
        <f aca="false">VLOOKUP(B109,M:O,3,0)</f>
        <v>15:45</v>
      </c>
      <c r="J109" s="10" t="str">
        <f aca="false">VLOOKUP(B109,M:P,4,0)</f>
        <v>BONATE SOTTO VIA GIUSEPPE GARIBALDI 15 </v>
      </c>
    </row>
    <row r="110" customFormat="false" ht="12.5" hidden="false" customHeight="false" outlineLevel="0" collapsed="false">
      <c r="A110" s="12" t="n">
        <v>46081</v>
      </c>
      <c r="B110" s="0" t="s">
        <v>677</v>
      </c>
      <c r="C110" s="0" t="s">
        <v>344</v>
      </c>
      <c r="D110" s="0" t="s">
        <v>637</v>
      </c>
      <c r="E110" s="0" t="s">
        <v>388</v>
      </c>
      <c r="F110" s="0" t="n">
        <v>4</v>
      </c>
      <c r="G110" s="0" t="s">
        <v>553</v>
      </c>
      <c r="H110" s="0" t="s">
        <v>742</v>
      </c>
      <c r="I110" s="9" t="str">
        <f aca="false">VLOOKUP(B110,M:O,3,0)</f>
        <v>15:30</v>
      </c>
      <c r="J110" s="10" t="str">
        <f aca="false">VLOOKUP(B110,M:P,4,0)</f>
        <v>PONTIROLO NUOVO VIA ARMANDO DIAZ 22 </v>
      </c>
    </row>
    <row r="111" customFormat="false" ht="12.5" hidden="false" customHeight="false" outlineLevel="0" collapsed="false">
      <c r="A111" s="12" t="n">
        <v>46081</v>
      </c>
      <c r="B111" s="0" t="s">
        <v>682</v>
      </c>
      <c r="C111" s="0" t="s">
        <v>348</v>
      </c>
      <c r="D111" s="0" t="s">
        <v>637</v>
      </c>
      <c r="E111" s="0" t="s">
        <v>388</v>
      </c>
      <c r="F111" s="0" t="n">
        <v>4</v>
      </c>
      <c r="G111" s="0" t="s">
        <v>553</v>
      </c>
      <c r="H111" s="0" t="s">
        <v>742</v>
      </c>
      <c r="I111" s="9" t="str">
        <f aca="false">VLOOKUP(B111,M:O,3,0)</f>
        <v>14:00</v>
      </c>
      <c r="J111" s="10" t="str">
        <f aca="false">VLOOKUP(B111,M:P,4,0)</f>
        <v>ZANICA P.LE MERCATO 1 </v>
      </c>
    </row>
    <row r="112" customFormat="false" ht="12.5" hidden="false" customHeight="false" outlineLevel="0" collapsed="false">
      <c r="A112" s="12" t="n">
        <v>46088</v>
      </c>
      <c r="B112" s="0" t="s">
        <v>387</v>
      </c>
      <c r="C112" s="0" t="s">
        <v>682</v>
      </c>
      <c r="D112" s="0" t="s">
        <v>637</v>
      </c>
      <c r="E112" s="0" t="s">
        <v>388</v>
      </c>
      <c r="F112" s="0" t="n">
        <v>5</v>
      </c>
      <c r="G112" s="0" t="s">
        <v>553</v>
      </c>
      <c r="H112" s="0" t="s">
        <v>742</v>
      </c>
      <c r="I112" s="9" t="str">
        <f aca="false">VLOOKUP(B112,M:O,3,0)</f>
        <v>14:15</v>
      </c>
      <c r="J112" s="10" t="str">
        <f aca="false">VLOOKUP(B112,M:P,4,0)</f>
        <v>MAPELLO VIA DEL LAZZARINO 1 </v>
      </c>
    </row>
    <row r="113" customFormat="false" ht="25" hidden="false" customHeight="false" outlineLevel="0" collapsed="false">
      <c r="A113" s="12" t="n">
        <v>46088</v>
      </c>
      <c r="B113" s="0" t="s">
        <v>679</v>
      </c>
      <c r="C113" s="0" t="s">
        <v>676</v>
      </c>
      <c r="D113" s="0" t="s">
        <v>637</v>
      </c>
      <c r="E113" s="0" t="s">
        <v>388</v>
      </c>
      <c r="F113" s="0" t="n">
        <v>5</v>
      </c>
      <c r="G113" s="0" t="s">
        <v>553</v>
      </c>
      <c r="H113" s="0" t="s">
        <v>742</v>
      </c>
      <c r="I113" s="9" t="str">
        <f aca="false">VLOOKUP(B113,M:O,3,0)</f>
        <v>17:15</v>
      </c>
      <c r="J113" s="10" t="str">
        <f aca="false">VLOOKUP(B113,M:P,4,0)</f>
        <v>COLOGNO AL SERIO VIA DELLE GALOSE/BETOSCA(E.A.) </v>
      </c>
    </row>
    <row r="114" customFormat="false" ht="12.5" hidden="false" customHeight="false" outlineLevel="0" collapsed="false">
      <c r="A114" s="12" t="n">
        <v>46088</v>
      </c>
      <c r="B114" s="0" t="s">
        <v>344</v>
      </c>
      <c r="C114" s="0" t="s">
        <v>340</v>
      </c>
      <c r="D114" s="0" t="s">
        <v>637</v>
      </c>
      <c r="E114" s="0" t="s">
        <v>388</v>
      </c>
      <c r="F114" s="0" t="n">
        <v>5</v>
      </c>
      <c r="G114" s="0" t="s">
        <v>553</v>
      </c>
      <c r="H114" s="0" t="s">
        <v>742</v>
      </c>
      <c r="I114" s="9" t="str">
        <f aca="false">VLOOKUP(B114,M:O,3,0)</f>
        <v>14:30</v>
      </c>
      <c r="J114" s="10" t="str">
        <f aca="false">VLOOKUP(B114,M:P,4,0)</f>
        <v>COLOGNO AL SERIO VIA DELLE GALOSE SNC </v>
      </c>
    </row>
    <row r="115" customFormat="false" ht="25" hidden="false" customHeight="false" outlineLevel="0" collapsed="false">
      <c r="A115" s="12" t="n">
        <v>46089</v>
      </c>
      <c r="B115" s="0" t="s">
        <v>671</v>
      </c>
      <c r="C115" s="0" t="s">
        <v>348</v>
      </c>
      <c r="D115" s="0" t="s">
        <v>637</v>
      </c>
      <c r="E115" s="0" t="s">
        <v>388</v>
      </c>
      <c r="F115" s="0" t="n">
        <v>5</v>
      </c>
      <c r="G115" s="0" t="s">
        <v>553</v>
      </c>
      <c r="H115" s="0" t="s">
        <v>742</v>
      </c>
      <c r="I115" s="9" t="n">
        <f aca="false">VLOOKUP(B115,M:O,3,0)</f>
        <v>0.447916666666667</v>
      </c>
      <c r="J115" s="10" t="str">
        <f aca="false">VLOOKUP(B115,M:P,4,0)</f>
        <v>FARA OLIVANA CON SOLA VIA VITTORIO EMANUELE SNC </v>
      </c>
    </row>
    <row r="116" customFormat="false" ht="12.5" hidden="false" customHeight="false" outlineLevel="0" collapsed="false">
      <c r="A116" s="12" t="n">
        <v>46088</v>
      </c>
      <c r="B116" s="0" t="s">
        <v>672</v>
      </c>
      <c r="C116" s="0" t="s">
        <v>677</v>
      </c>
      <c r="D116" s="0" t="s">
        <v>637</v>
      </c>
      <c r="E116" s="0" t="s">
        <v>388</v>
      </c>
      <c r="F116" s="0" t="n">
        <v>5</v>
      </c>
      <c r="G116" s="0" t="s">
        <v>553</v>
      </c>
      <c r="H116" s="0" t="s">
        <v>742</v>
      </c>
      <c r="I116" s="9" t="str">
        <f aca="false">VLOOKUP(B116,M:O,3,0)</f>
        <v>14:30</v>
      </c>
      <c r="J116" s="10" t="str">
        <f aca="false">VLOOKUP(B116,M:P,4,0)</f>
        <v>MARTINENGO VIA DE GASPERI </v>
      </c>
    </row>
    <row r="117" customFormat="false" ht="12.5" hidden="false" customHeight="false" outlineLevel="0" collapsed="false">
      <c r="A117" s="12" t="n">
        <v>46095</v>
      </c>
      <c r="B117" s="0" t="s">
        <v>340</v>
      </c>
      <c r="C117" s="0" t="s">
        <v>672</v>
      </c>
      <c r="D117" s="0" t="s">
        <v>637</v>
      </c>
      <c r="E117" s="0" t="s">
        <v>388</v>
      </c>
      <c r="F117" s="0" t="n">
        <v>6</v>
      </c>
      <c r="G117" s="0" t="s">
        <v>553</v>
      </c>
      <c r="H117" s="0" t="s">
        <v>742</v>
      </c>
      <c r="I117" s="9" t="str">
        <f aca="false">VLOOKUP(B117,M:O,3,0)</f>
        <v>14:30</v>
      </c>
      <c r="J117" s="10" t="str">
        <f aca="false">VLOOKUP(B117,M:P,4,0)</f>
        <v>TREVIGLIO VIA MILANO N.7 </v>
      </c>
    </row>
    <row r="118" customFormat="false" ht="12.5" hidden="false" customHeight="false" outlineLevel="0" collapsed="false">
      <c r="A118" s="12" t="n">
        <v>46095</v>
      </c>
      <c r="B118" s="0" t="s">
        <v>676</v>
      </c>
      <c r="C118" s="0" t="s">
        <v>387</v>
      </c>
      <c r="D118" s="0" t="s">
        <v>637</v>
      </c>
      <c r="E118" s="0" t="s">
        <v>388</v>
      </c>
      <c r="F118" s="0" t="n">
        <v>6</v>
      </c>
      <c r="G118" s="0" t="s">
        <v>553</v>
      </c>
      <c r="H118" s="0" t="s">
        <v>742</v>
      </c>
      <c r="I118" s="9" t="str">
        <f aca="false">VLOOKUP(B118,M:O,3,0)</f>
        <v>15:45</v>
      </c>
      <c r="J118" s="10" t="str">
        <f aca="false">VLOOKUP(B118,M:P,4,0)</f>
        <v>BONATE SOTTO VIA GIUSEPPE GARIBALDI 15 </v>
      </c>
    </row>
    <row r="119" customFormat="false" ht="12.5" hidden="false" customHeight="false" outlineLevel="0" collapsed="false">
      <c r="A119" s="12" t="n">
        <v>46095</v>
      </c>
      <c r="B119" s="0" t="s">
        <v>677</v>
      </c>
      <c r="C119" s="0" t="s">
        <v>679</v>
      </c>
      <c r="D119" s="0" t="s">
        <v>637</v>
      </c>
      <c r="E119" s="0" t="s">
        <v>388</v>
      </c>
      <c r="F119" s="0" t="n">
        <v>6</v>
      </c>
      <c r="G119" s="0" t="s">
        <v>553</v>
      </c>
      <c r="H119" s="0" t="s">
        <v>742</v>
      </c>
      <c r="I119" s="9" t="str">
        <f aca="false">VLOOKUP(B119,M:O,3,0)</f>
        <v>15:30</v>
      </c>
      <c r="J119" s="10" t="str">
        <f aca="false">VLOOKUP(B119,M:P,4,0)</f>
        <v>PONTIROLO NUOVO VIA ARMANDO DIAZ 22 </v>
      </c>
    </row>
    <row r="120" customFormat="false" ht="12.5" hidden="false" customHeight="false" outlineLevel="0" collapsed="false">
      <c r="A120" s="12" t="n">
        <v>46095</v>
      </c>
      <c r="B120" s="0" t="s">
        <v>348</v>
      </c>
      <c r="C120" s="0" t="s">
        <v>344</v>
      </c>
      <c r="D120" s="0" t="s">
        <v>637</v>
      </c>
      <c r="E120" s="0" t="s">
        <v>388</v>
      </c>
      <c r="F120" s="0" t="n">
        <v>6</v>
      </c>
      <c r="G120" s="0" t="s">
        <v>553</v>
      </c>
      <c r="H120" s="0" t="s">
        <v>742</v>
      </c>
      <c r="I120" s="9" t="str">
        <f aca="false">VLOOKUP(B120,M:O,3,0)</f>
        <v>14:30</v>
      </c>
      <c r="J120" s="10" t="str">
        <f aca="false">VLOOKUP(B120,M:P,4,0)</f>
        <v>TREVIGLIO VIA AI MALGARI 1 </v>
      </c>
    </row>
    <row r="121" customFormat="false" ht="12.5" hidden="false" customHeight="false" outlineLevel="0" collapsed="false">
      <c r="A121" s="12" t="n">
        <v>46095</v>
      </c>
      <c r="B121" s="0" t="s">
        <v>682</v>
      </c>
      <c r="C121" s="0" t="s">
        <v>671</v>
      </c>
      <c r="D121" s="0" t="s">
        <v>637</v>
      </c>
      <c r="E121" s="0" t="s">
        <v>388</v>
      </c>
      <c r="F121" s="0" t="n">
        <v>6</v>
      </c>
      <c r="G121" s="0" t="s">
        <v>553</v>
      </c>
      <c r="H121" s="0" t="s">
        <v>742</v>
      </c>
      <c r="I121" s="9" t="str">
        <f aca="false">VLOOKUP(B121,M:O,3,0)</f>
        <v>14:00</v>
      </c>
      <c r="J121" s="10" t="str">
        <f aca="false">VLOOKUP(B121,M:P,4,0)</f>
        <v>ZANICA P.LE MERCATO 1 </v>
      </c>
    </row>
    <row r="122" customFormat="false" ht="12.5" hidden="false" customHeight="false" outlineLevel="0" collapsed="false">
      <c r="A122" s="12" t="n">
        <v>46102</v>
      </c>
      <c r="B122" s="0" t="s">
        <v>387</v>
      </c>
      <c r="C122" s="0" t="s">
        <v>677</v>
      </c>
      <c r="D122" s="0" t="s">
        <v>637</v>
      </c>
      <c r="E122" s="0" t="s">
        <v>388</v>
      </c>
      <c r="F122" s="0" t="n">
        <v>7</v>
      </c>
      <c r="G122" s="0" t="s">
        <v>553</v>
      </c>
      <c r="H122" s="0" t="s">
        <v>742</v>
      </c>
      <c r="I122" s="9" t="str">
        <f aca="false">VLOOKUP(B122,M:O,3,0)</f>
        <v>14:15</v>
      </c>
      <c r="J122" s="10" t="str">
        <f aca="false">VLOOKUP(B122,M:P,4,0)</f>
        <v>MAPELLO VIA DEL LAZZARINO 1 </v>
      </c>
    </row>
    <row r="123" customFormat="false" ht="12.5" hidden="false" customHeight="false" outlineLevel="0" collapsed="false">
      <c r="A123" s="12" t="n">
        <v>46102</v>
      </c>
      <c r="B123" s="0" t="s">
        <v>676</v>
      </c>
      <c r="C123" s="0" t="s">
        <v>682</v>
      </c>
      <c r="D123" s="0" t="s">
        <v>637</v>
      </c>
      <c r="E123" s="0" t="s">
        <v>388</v>
      </c>
      <c r="F123" s="0" t="n">
        <v>7</v>
      </c>
      <c r="G123" s="0" t="s">
        <v>553</v>
      </c>
      <c r="H123" s="0" t="s">
        <v>742</v>
      </c>
      <c r="I123" s="9" t="str">
        <f aca="false">VLOOKUP(B123,M:O,3,0)</f>
        <v>15:45</v>
      </c>
      <c r="J123" s="10" t="str">
        <f aca="false">VLOOKUP(B123,M:P,4,0)</f>
        <v>BONATE SOTTO VIA GIUSEPPE GARIBALDI 15 </v>
      </c>
    </row>
    <row r="124" customFormat="false" ht="25" hidden="false" customHeight="false" outlineLevel="0" collapsed="false">
      <c r="A124" s="12" t="n">
        <v>46102</v>
      </c>
      <c r="B124" s="0" t="s">
        <v>679</v>
      </c>
      <c r="C124" s="0" t="s">
        <v>340</v>
      </c>
      <c r="D124" s="0" t="s">
        <v>637</v>
      </c>
      <c r="E124" s="0" t="s">
        <v>388</v>
      </c>
      <c r="F124" s="0" t="n">
        <v>7</v>
      </c>
      <c r="G124" s="0" t="s">
        <v>553</v>
      </c>
      <c r="H124" s="0" t="s">
        <v>742</v>
      </c>
      <c r="I124" s="9" t="str">
        <f aca="false">VLOOKUP(B124,M:O,3,0)</f>
        <v>17:15</v>
      </c>
      <c r="J124" s="10" t="str">
        <f aca="false">VLOOKUP(B124,M:P,4,0)</f>
        <v>COLOGNO AL SERIO VIA DELLE GALOSE/BETOSCA(E.A.) </v>
      </c>
    </row>
    <row r="125" customFormat="false" ht="12.5" hidden="false" customHeight="false" outlineLevel="0" collapsed="false">
      <c r="A125" s="12" t="n">
        <v>46102</v>
      </c>
      <c r="B125" s="0" t="s">
        <v>344</v>
      </c>
      <c r="C125" s="0" t="s">
        <v>671</v>
      </c>
      <c r="D125" s="0" t="s">
        <v>637</v>
      </c>
      <c r="E125" s="0" t="s">
        <v>388</v>
      </c>
      <c r="F125" s="0" t="n">
        <v>7</v>
      </c>
      <c r="G125" s="0" t="s">
        <v>553</v>
      </c>
      <c r="H125" s="0" t="s">
        <v>742</v>
      </c>
      <c r="I125" s="9" t="str">
        <f aca="false">VLOOKUP(B125,M:O,3,0)</f>
        <v>14:30</v>
      </c>
      <c r="J125" s="10" t="str">
        <f aca="false">VLOOKUP(B125,M:P,4,0)</f>
        <v>COLOGNO AL SERIO VIA DELLE GALOSE SNC </v>
      </c>
    </row>
    <row r="126" customFormat="false" ht="12.5" hidden="false" customHeight="false" outlineLevel="0" collapsed="false">
      <c r="A126" s="12" t="n">
        <v>46102</v>
      </c>
      <c r="B126" s="0" t="s">
        <v>672</v>
      </c>
      <c r="C126" s="0" t="s">
        <v>348</v>
      </c>
      <c r="D126" s="0" t="s">
        <v>637</v>
      </c>
      <c r="E126" s="0" t="s">
        <v>388</v>
      </c>
      <c r="F126" s="0" t="n">
        <v>7</v>
      </c>
      <c r="G126" s="0" t="s">
        <v>553</v>
      </c>
      <c r="H126" s="0" t="s">
        <v>742</v>
      </c>
      <c r="I126" s="9" t="str">
        <f aca="false">VLOOKUP(B126,M:O,3,0)</f>
        <v>14:30</v>
      </c>
      <c r="J126" s="10" t="str">
        <f aca="false">VLOOKUP(B126,M:P,4,0)</f>
        <v>MARTINENGO VIA DE GASPERI </v>
      </c>
    </row>
    <row r="127" customFormat="false" ht="12.5" hidden="false" customHeight="false" outlineLevel="0" collapsed="false">
      <c r="A127" s="12" t="n">
        <v>46109</v>
      </c>
      <c r="B127" s="0" t="s">
        <v>340</v>
      </c>
      <c r="C127" s="0" t="s">
        <v>387</v>
      </c>
      <c r="D127" s="0" t="s">
        <v>637</v>
      </c>
      <c r="E127" s="0" t="s">
        <v>388</v>
      </c>
      <c r="F127" s="0" t="n">
        <v>8</v>
      </c>
      <c r="G127" s="0" t="s">
        <v>553</v>
      </c>
      <c r="H127" s="0" t="s">
        <v>742</v>
      </c>
      <c r="I127" s="9" t="str">
        <f aca="false">VLOOKUP(B127,M:O,3,0)</f>
        <v>14:30</v>
      </c>
      <c r="J127" s="10" t="str">
        <f aca="false">VLOOKUP(B127,M:P,4,0)</f>
        <v>TREVIGLIO VIA MILANO N.7 </v>
      </c>
    </row>
    <row r="128" customFormat="false" ht="12.5" hidden="false" customHeight="false" outlineLevel="0" collapsed="false">
      <c r="A128" s="12" t="n">
        <v>46109</v>
      </c>
      <c r="B128" s="0" t="s">
        <v>677</v>
      </c>
      <c r="C128" s="0" t="s">
        <v>676</v>
      </c>
      <c r="D128" s="0" t="s">
        <v>637</v>
      </c>
      <c r="E128" s="0" t="s">
        <v>388</v>
      </c>
      <c r="F128" s="0" t="n">
        <v>8</v>
      </c>
      <c r="G128" s="0" t="s">
        <v>553</v>
      </c>
      <c r="H128" s="0" t="s">
        <v>742</v>
      </c>
      <c r="I128" s="9" t="str">
        <f aca="false">VLOOKUP(B128,M:O,3,0)</f>
        <v>15:30</v>
      </c>
      <c r="J128" s="10" t="str">
        <f aca="false">VLOOKUP(B128,M:P,4,0)</f>
        <v>PONTIROLO NUOVO VIA ARMANDO DIAZ 22 </v>
      </c>
    </row>
    <row r="129" customFormat="false" ht="12.5" hidden="false" customHeight="false" outlineLevel="0" collapsed="false">
      <c r="A129" s="12" t="n">
        <v>46109</v>
      </c>
      <c r="B129" s="0" t="s">
        <v>344</v>
      </c>
      <c r="C129" s="0" t="s">
        <v>682</v>
      </c>
      <c r="D129" s="0" t="s">
        <v>637</v>
      </c>
      <c r="E129" s="0" t="s">
        <v>388</v>
      </c>
      <c r="F129" s="0" t="n">
        <v>8</v>
      </c>
      <c r="G129" s="0" t="s">
        <v>553</v>
      </c>
      <c r="H129" s="0" t="s">
        <v>742</v>
      </c>
      <c r="I129" s="9" t="str">
        <f aca="false">VLOOKUP(B129,M:O,3,0)</f>
        <v>14:30</v>
      </c>
      <c r="J129" s="10" t="str">
        <f aca="false">VLOOKUP(B129,M:P,4,0)</f>
        <v>COLOGNO AL SERIO VIA DELLE GALOSE SNC </v>
      </c>
    </row>
    <row r="130" customFormat="false" ht="25" hidden="false" customHeight="false" outlineLevel="0" collapsed="false">
      <c r="A130" s="12" t="n">
        <v>46110</v>
      </c>
      <c r="B130" s="0" t="s">
        <v>671</v>
      </c>
      <c r="C130" s="0" t="s">
        <v>672</v>
      </c>
      <c r="D130" s="0" t="s">
        <v>637</v>
      </c>
      <c r="E130" s="0" t="s">
        <v>388</v>
      </c>
      <c r="F130" s="0" t="n">
        <v>8</v>
      </c>
      <c r="G130" s="0" t="s">
        <v>553</v>
      </c>
      <c r="H130" s="0" t="s">
        <v>742</v>
      </c>
      <c r="I130" s="9" t="n">
        <f aca="false">VLOOKUP(B130,M:O,3,0)</f>
        <v>0.447916666666667</v>
      </c>
      <c r="J130" s="10" t="str">
        <f aca="false">VLOOKUP(B130,M:P,4,0)</f>
        <v>FARA OLIVANA CON SOLA VIA VITTORIO EMANUELE SNC </v>
      </c>
    </row>
    <row r="131" customFormat="false" ht="12.5" hidden="false" customHeight="false" outlineLevel="0" collapsed="false">
      <c r="A131" s="12" t="n">
        <v>46109</v>
      </c>
      <c r="B131" s="0" t="s">
        <v>348</v>
      </c>
      <c r="C131" s="0" t="s">
        <v>679</v>
      </c>
      <c r="D131" s="0" t="s">
        <v>637</v>
      </c>
      <c r="E131" s="0" t="s">
        <v>388</v>
      </c>
      <c r="F131" s="0" t="n">
        <v>8</v>
      </c>
      <c r="G131" s="0" t="s">
        <v>553</v>
      </c>
      <c r="H131" s="0" t="s">
        <v>290</v>
      </c>
      <c r="I131" s="9" t="str">
        <f aca="false">VLOOKUP(B131,M:O,3,0)</f>
        <v>14:30</v>
      </c>
      <c r="J131" s="10" t="str">
        <f aca="false">VLOOKUP(B131,M:P,4,0)</f>
        <v>TREVIGLIO VIA AI MALGARI 1 </v>
      </c>
    </row>
    <row r="132" customFormat="false" ht="12.5" hidden="false" customHeight="false" outlineLevel="0" collapsed="false">
      <c r="A132" s="19" t="n">
        <v>46123</v>
      </c>
      <c r="B132" s="0" t="s">
        <v>387</v>
      </c>
      <c r="C132" s="0" t="s">
        <v>348</v>
      </c>
      <c r="D132" s="0" t="s">
        <v>637</v>
      </c>
      <c r="E132" s="0" t="s">
        <v>388</v>
      </c>
      <c r="F132" s="0" t="n">
        <v>9</v>
      </c>
      <c r="G132" s="0" t="s">
        <v>553</v>
      </c>
      <c r="H132" s="0" t="s">
        <v>290</v>
      </c>
      <c r="I132" s="9" t="str">
        <f aca="false">VLOOKUP(B132,M:O,3,0)</f>
        <v>14:15</v>
      </c>
      <c r="J132" s="10" t="str">
        <f aca="false">VLOOKUP(B132,M:P,4,0)</f>
        <v>MAPELLO VIA DEL LAZZARINO 1 </v>
      </c>
    </row>
    <row r="133" customFormat="false" ht="12.5" hidden="false" customHeight="false" outlineLevel="0" collapsed="false">
      <c r="A133" s="19" t="n">
        <v>46123</v>
      </c>
      <c r="B133" s="0" t="s">
        <v>676</v>
      </c>
      <c r="C133" s="0" t="s">
        <v>340</v>
      </c>
      <c r="D133" s="0" t="s">
        <v>637</v>
      </c>
      <c r="E133" s="0" t="s">
        <v>388</v>
      </c>
      <c r="F133" s="0" t="n">
        <v>9</v>
      </c>
      <c r="G133" s="0" t="s">
        <v>553</v>
      </c>
      <c r="H133" s="0" t="s">
        <v>290</v>
      </c>
      <c r="I133" s="9" t="str">
        <f aca="false">VLOOKUP(B133,M:O,3,0)</f>
        <v>15:45</v>
      </c>
      <c r="J133" s="10" t="str">
        <f aca="false">VLOOKUP(B133,M:P,4,0)</f>
        <v>BONATE SOTTO VIA GIUSEPPE GARIBALDI 15 </v>
      </c>
    </row>
    <row r="134" customFormat="false" ht="25" hidden="false" customHeight="false" outlineLevel="0" collapsed="false">
      <c r="A134" s="19" t="n">
        <v>46123</v>
      </c>
      <c r="B134" s="0" t="s">
        <v>679</v>
      </c>
      <c r="C134" s="0" t="s">
        <v>671</v>
      </c>
      <c r="D134" s="0" t="s">
        <v>637</v>
      </c>
      <c r="E134" s="0" t="s">
        <v>388</v>
      </c>
      <c r="F134" s="0" t="n">
        <v>9</v>
      </c>
      <c r="G134" s="0" t="s">
        <v>553</v>
      </c>
      <c r="H134" s="0" t="s">
        <v>290</v>
      </c>
      <c r="I134" s="9" t="str">
        <f aca="false">VLOOKUP(B134,M:O,3,0)</f>
        <v>17:15</v>
      </c>
      <c r="J134" s="10" t="str">
        <f aca="false">VLOOKUP(B134,M:P,4,0)</f>
        <v>COLOGNO AL SERIO VIA DELLE GALOSE/BETOSCA(E.A.) </v>
      </c>
    </row>
    <row r="135" customFormat="false" ht="12.5" hidden="false" customHeight="false" outlineLevel="0" collapsed="false">
      <c r="A135" s="19" t="n">
        <v>46123</v>
      </c>
      <c r="B135" s="0" t="s">
        <v>672</v>
      </c>
      <c r="C135" s="0" t="s">
        <v>344</v>
      </c>
      <c r="D135" s="0" t="s">
        <v>637</v>
      </c>
      <c r="E135" s="0" t="s">
        <v>388</v>
      </c>
      <c r="F135" s="0" t="n">
        <v>9</v>
      </c>
      <c r="G135" s="0" t="s">
        <v>553</v>
      </c>
      <c r="H135" s="0" t="s">
        <v>290</v>
      </c>
      <c r="I135" s="9" t="str">
        <f aca="false">VLOOKUP(B135,M:O,3,0)</f>
        <v>14:30</v>
      </c>
      <c r="J135" s="10" t="str">
        <f aca="false">VLOOKUP(B135,M:P,4,0)</f>
        <v>MARTINENGO VIA DE GASPERI </v>
      </c>
    </row>
    <row r="136" customFormat="false" ht="12.5" hidden="false" customHeight="false" outlineLevel="0" collapsed="false">
      <c r="A136" s="19" t="n">
        <v>46123</v>
      </c>
      <c r="B136" s="0" t="s">
        <v>682</v>
      </c>
      <c r="C136" s="0" t="s">
        <v>682</v>
      </c>
      <c r="D136" s="0" t="s">
        <v>637</v>
      </c>
      <c r="E136" s="0" t="s">
        <v>388</v>
      </c>
      <c r="F136" s="0" t="n">
        <v>9</v>
      </c>
      <c r="G136" s="0" t="s">
        <v>553</v>
      </c>
      <c r="H136" s="0" t="s">
        <v>290</v>
      </c>
      <c r="I136" s="9" t="str">
        <f aca="false">VLOOKUP(B136,M:O,3,0)</f>
        <v>14:00</v>
      </c>
      <c r="J136" s="10" t="str">
        <f aca="false">VLOOKUP(B136,M:P,4,0)</f>
        <v>ZANICA P.LE MERCATO 1 </v>
      </c>
    </row>
    <row r="137" customFormat="false" ht="12.5" hidden="false" customHeight="false" outlineLevel="0" collapsed="false">
      <c r="A137" s="12" t="n">
        <v>46060</v>
      </c>
      <c r="B137" s="0" t="s">
        <v>684</v>
      </c>
      <c r="C137" s="0" t="s">
        <v>506</v>
      </c>
      <c r="D137" s="0" t="s">
        <v>637</v>
      </c>
      <c r="E137" s="0" t="s">
        <v>311</v>
      </c>
      <c r="F137" s="0" t="n">
        <v>1</v>
      </c>
      <c r="G137" s="0" t="s">
        <v>553</v>
      </c>
      <c r="H137" s="0" t="s">
        <v>742</v>
      </c>
      <c r="I137" s="9" t="str">
        <f aca="false">VLOOKUP(B137,M:O,3,0)</f>
        <v>14:30</v>
      </c>
      <c r="J137" s="10" t="str">
        <f aca="false">VLOOKUP(B137,M:P,4,0)</f>
        <v>CALCIO VIA SCHIEPPATI 23 </v>
      </c>
    </row>
    <row r="138" customFormat="false" ht="12.5" hidden="false" customHeight="false" outlineLevel="0" collapsed="false">
      <c r="A138" s="12" t="n">
        <v>46060</v>
      </c>
      <c r="B138" s="0" t="s">
        <v>687</v>
      </c>
      <c r="C138" s="0" t="s">
        <v>694</v>
      </c>
      <c r="D138" s="0" t="s">
        <v>637</v>
      </c>
      <c r="E138" s="0" t="s">
        <v>311</v>
      </c>
      <c r="F138" s="0" t="n">
        <v>1</v>
      </c>
      <c r="G138" s="0" t="s">
        <v>553</v>
      </c>
      <c r="H138" s="0" t="s">
        <v>742</v>
      </c>
      <c r="I138" s="9" t="str">
        <f aca="false">VLOOKUP(B138,M:O,3,0)</f>
        <v>14:30</v>
      </c>
      <c r="J138" s="10" t="str">
        <f aca="false">VLOOKUP(B138,M:P,4,0)</f>
        <v>PONTOGLIO VIA LEOPARDI </v>
      </c>
    </row>
    <row r="139" customFormat="false" ht="12.5" hidden="false" customHeight="false" outlineLevel="0" collapsed="false">
      <c r="A139" s="12" t="n">
        <v>46060</v>
      </c>
      <c r="B139" s="0" t="s">
        <v>689</v>
      </c>
      <c r="C139" s="0" t="s">
        <v>698</v>
      </c>
      <c r="D139" s="0" t="s">
        <v>637</v>
      </c>
      <c r="E139" s="0" t="s">
        <v>311</v>
      </c>
      <c r="F139" s="0" t="n">
        <v>1</v>
      </c>
      <c r="G139" s="0" t="s">
        <v>553</v>
      </c>
      <c r="H139" s="0" t="s">
        <v>742</v>
      </c>
      <c r="I139" s="9" t="str">
        <f aca="false">VLOOKUP(B139,M:O,3,0)</f>
        <v>14:30</v>
      </c>
      <c r="J139" s="10" t="str">
        <f aca="false">VLOOKUP(B139,M:P,4,0)</f>
        <v>CASAZZA PIAZZA PIEVE 4 </v>
      </c>
    </row>
    <row r="140" customFormat="false" ht="12.5" hidden="false" customHeight="false" outlineLevel="0" collapsed="false">
      <c r="A140" s="12" t="n">
        <v>46060</v>
      </c>
      <c r="B140" s="0" t="s">
        <v>691</v>
      </c>
      <c r="C140" s="0" t="s">
        <v>371</v>
      </c>
      <c r="D140" s="0" t="s">
        <v>637</v>
      </c>
      <c r="E140" s="0" t="s">
        <v>311</v>
      </c>
      <c r="F140" s="0" t="n">
        <v>1</v>
      </c>
      <c r="G140" s="0" t="s">
        <v>553</v>
      </c>
      <c r="H140" s="0" t="s">
        <v>742</v>
      </c>
      <c r="I140" s="9" t="str">
        <f aca="false">VLOOKUP(B140,M:O,3,0)</f>
        <v>14:30</v>
      </c>
      <c r="J140" s="10" t="str">
        <f aca="false">VLOOKUP(B140,M:P,4,0)</f>
        <v>PALOSCO VIA DONIZETTI 9/11 </v>
      </c>
    </row>
    <row r="141" customFormat="false" ht="12.5" hidden="false" customHeight="false" outlineLevel="0" collapsed="false">
      <c r="A141" s="12" t="n">
        <v>46067</v>
      </c>
      <c r="B141" s="0" t="s">
        <v>371</v>
      </c>
      <c r="C141" s="0" t="s">
        <v>689</v>
      </c>
      <c r="D141" s="0" t="s">
        <v>637</v>
      </c>
      <c r="E141" s="0" t="s">
        <v>311</v>
      </c>
      <c r="F141" s="0" t="n">
        <v>2</v>
      </c>
      <c r="G141" s="0" t="s">
        <v>553</v>
      </c>
      <c r="H141" s="0" t="s">
        <v>742</v>
      </c>
      <c r="I141" s="9" t="str">
        <f aca="false">VLOOKUP(B141,M:O,3,0)</f>
        <v>14:30</v>
      </c>
      <c r="J141" s="10" t="str">
        <f aca="false">VLOOKUP(B141,M:P,4,0)</f>
        <v>BERGAMO Q.RE COLOGNOLA VIA S.SISTO 9 </v>
      </c>
    </row>
    <row r="142" customFormat="false" ht="12.5" hidden="false" customHeight="false" outlineLevel="0" collapsed="false">
      <c r="A142" s="12" t="n">
        <v>46067</v>
      </c>
      <c r="B142" s="0" t="s">
        <v>694</v>
      </c>
      <c r="C142" s="0" t="s">
        <v>691</v>
      </c>
      <c r="D142" s="0" t="s">
        <v>637</v>
      </c>
      <c r="E142" s="0" t="s">
        <v>311</v>
      </c>
      <c r="F142" s="0" t="n">
        <v>2</v>
      </c>
      <c r="G142" s="0" t="s">
        <v>553</v>
      </c>
      <c r="H142" s="0" t="s">
        <v>742</v>
      </c>
      <c r="I142" s="9" t="str">
        <f aca="false">VLOOKUP(B142,M:O,3,0)</f>
        <v>16:30</v>
      </c>
      <c r="J142" s="10" t="str">
        <f aca="false">VLOOKUP(B142,M:P,4,0)</f>
        <v>BOLGARE VIA ORIANA FALLACI </v>
      </c>
    </row>
    <row r="143" customFormat="false" ht="12.5" hidden="false" customHeight="false" outlineLevel="0" collapsed="false">
      <c r="A143" s="12" t="n">
        <v>46067</v>
      </c>
      <c r="B143" s="0" t="s">
        <v>506</v>
      </c>
      <c r="C143" s="0" t="s">
        <v>687</v>
      </c>
      <c r="D143" s="0" t="s">
        <v>637</v>
      </c>
      <c r="E143" s="0" t="s">
        <v>311</v>
      </c>
      <c r="F143" s="0" t="n">
        <v>2</v>
      </c>
      <c r="G143" s="0" t="s">
        <v>553</v>
      </c>
      <c r="H143" s="0" t="s">
        <v>742</v>
      </c>
      <c r="I143" s="9" t="str">
        <f aca="false">VLOOKUP(B143,M:O,3,0)</f>
        <v>16:00</v>
      </c>
      <c r="J143" s="10" t="str">
        <f aca="false">VLOOKUP(B143,M:P,4,0)</f>
        <v>VILLONGO/FRAZ.SAN FILASTRO VIA CAMOZZI SNC </v>
      </c>
    </row>
    <row r="144" customFormat="false" ht="12.5" hidden="false" customHeight="false" outlineLevel="0" collapsed="false">
      <c r="A144" s="12" t="n">
        <v>46067</v>
      </c>
      <c r="B144" s="0" t="s">
        <v>378</v>
      </c>
      <c r="C144" s="0" t="s">
        <v>684</v>
      </c>
      <c r="D144" s="0" t="s">
        <v>637</v>
      </c>
      <c r="E144" s="0" t="s">
        <v>311</v>
      </c>
      <c r="F144" s="0" t="n">
        <v>2</v>
      </c>
      <c r="G144" s="0" t="s">
        <v>553</v>
      </c>
      <c r="H144" s="0" t="s">
        <v>742</v>
      </c>
      <c r="I144" s="9" t="str">
        <f aca="false">VLOOKUP(B144,M:O,3,0)</f>
        <v>16:00</v>
      </c>
      <c r="J144" s="10" t="str">
        <f aca="false">VLOOKUP(B144,M:P,4,0)</f>
        <v>CASTELLI CALEPIO/FRAZ.CIVIDINO VIA FERRUCCI </v>
      </c>
    </row>
    <row r="145" customFormat="false" ht="12.5" hidden="false" customHeight="false" outlineLevel="0" collapsed="false">
      <c r="A145" s="12" t="n">
        <v>46074</v>
      </c>
      <c r="B145" s="0" t="s">
        <v>684</v>
      </c>
      <c r="C145" s="0" t="s">
        <v>698</v>
      </c>
      <c r="D145" s="0" t="s">
        <v>637</v>
      </c>
      <c r="E145" s="0" t="s">
        <v>311</v>
      </c>
      <c r="F145" s="0" t="n">
        <v>3</v>
      </c>
      <c r="G145" s="0" t="s">
        <v>553</v>
      </c>
      <c r="H145" s="0" t="s">
        <v>742</v>
      </c>
      <c r="I145" s="9" t="str">
        <f aca="false">VLOOKUP(B145,M:O,3,0)</f>
        <v>14:30</v>
      </c>
      <c r="J145" s="10" t="str">
        <f aca="false">VLOOKUP(B145,M:P,4,0)</f>
        <v>CALCIO VIA SCHIEPPATI 23 </v>
      </c>
    </row>
    <row r="146" customFormat="false" ht="12.5" hidden="false" customHeight="false" outlineLevel="0" collapsed="false">
      <c r="A146" s="12" t="n">
        <v>46074</v>
      </c>
      <c r="B146" s="0" t="s">
        <v>687</v>
      </c>
      <c r="C146" s="0" t="s">
        <v>378</v>
      </c>
      <c r="D146" s="0" t="s">
        <v>637</v>
      </c>
      <c r="E146" s="0" t="s">
        <v>311</v>
      </c>
      <c r="F146" s="0" t="n">
        <v>3</v>
      </c>
      <c r="G146" s="0" t="s">
        <v>553</v>
      </c>
      <c r="H146" s="0" t="s">
        <v>742</v>
      </c>
      <c r="I146" s="9" t="str">
        <f aca="false">VLOOKUP(B146,M:O,3,0)</f>
        <v>14:30</v>
      </c>
      <c r="J146" s="10" t="str">
        <f aca="false">VLOOKUP(B146,M:P,4,0)</f>
        <v>PONTOGLIO VIA LEOPARDI </v>
      </c>
    </row>
    <row r="147" customFormat="false" ht="12.5" hidden="false" customHeight="false" outlineLevel="0" collapsed="false">
      <c r="A147" s="12" t="n">
        <v>46074</v>
      </c>
      <c r="B147" s="0" t="s">
        <v>694</v>
      </c>
      <c r="C147" s="0" t="s">
        <v>371</v>
      </c>
      <c r="D147" s="0" t="s">
        <v>637</v>
      </c>
      <c r="E147" s="0" t="s">
        <v>311</v>
      </c>
      <c r="F147" s="0" t="n">
        <v>3</v>
      </c>
      <c r="G147" s="0" t="s">
        <v>553</v>
      </c>
      <c r="H147" s="0" t="s">
        <v>742</v>
      </c>
      <c r="I147" s="9" t="str">
        <f aca="false">VLOOKUP(B147,M:O,3,0)</f>
        <v>16:30</v>
      </c>
      <c r="J147" s="10" t="str">
        <f aca="false">VLOOKUP(B147,M:P,4,0)</f>
        <v>BOLGARE VIA ORIANA FALLACI </v>
      </c>
    </row>
    <row r="148" customFormat="false" ht="12.5" hidden="false" customHeight="false" outlineLevel="0" collapsed="false">
      <c r="A148" s="12" t="n">
        <v>46074</v>
      </c>
      <c r="B148" s="0" t="s">
        <v>691</v>
      </c>
      <c r="C148" s="0" t="s">
        <v>506</v>
      </c>
      <c r="D148" s="0" t="s">
        <v>637</v>
      </c>
      <c r="E148" s="0" t="s">
        <v>311</v>
      </c>
      <c r="F148" s="0" t="n">
        <v>3</v>
      </c>
      <c r="G148" s="0" t="s">
        <v>553</v>
      </c>
      <c r="H148" s="0" t="s">
        <v>742</v>
      </c>
      <c r="I148" s="9" t="str">
        <f aca="false">VLOOKUP(B148,M:O,3,0)</f>
        <v>14:30</v>
      </c>
      <c r="J148" s="10" t="str">
        <f aca="false">VLOOKUP(B148,M:P,4,0)</f>
        <v>PALOSCO VIA DONIZETTI 9/11 </v>
      </c>
    </row>
    <row r="149" customFormat="false" ht="12.5" hidden="false" customHeight="false" outlineLevel="0" collapsed="false">
      <c r="A149" s="12" t="n">
        <v>46081</v>
      </c>
      <c r="B149" s="0" t="s">
        <v>698</v>
      </c>
      <c r="C149" s="0" t="s">
        <v>687</v>
      </c>
      <c r="D149" s="0" t="s">
        <v>637</v>
      </c>
      <c r="E149" s="0" t="s">
        <v>311</v>
      </c>
      <c r="F149" s="0" t="n">
        <v>4</v>
      </c>
      <c r="G149" s="0" t="s">
        <v>553</v>
      </c>
      <c r="H149" s="0" t="s">
        <v>742</v>
      </c>
      <c r="I149" s="9" t="str">
        <f aca="false">VLOOKUP(B149,M:O,3,0)</f>
        <v>14:30</v>
      </c>
      <c r="J149" s="10" t="str">
        <f aca="false">VLOOKUP(B149,M:P,4,0)</f>
        <v>CASNIGO VIA EUROPA </v>
      </c>
    </row>
    <row r="150" customFormat="false" ht="12.5" hidden="false" customHeight="false" outlineLevel="0" collapsed="false">
      <c r="A150" s="12" t="n">
        <v>46081</v>
      </c>
      <c r="B150" s="0" t="s">
        <v>689</v>
      </c>
      <c r="C150" s="0" t="s">
        <v>684</v>
      </c>
      <c r="D150" s="0" t="s">
        <v>637</v>
      </c>
      <c r="E150" s="0" t="s">
        <v>311</v>
      </c>
      <c r="F150" s="0" t="n">
        <v>4</v>
      </c>
      <c r="G150" s="0" t="s">
        <v>553</v>
      </c>
      <c r="H150" s="0" t="s">
        <v>742</v>
      </c>
      <c r="I150" s="9" t="str">
        <f aca="false">VLOOKUP(B150,M:O,3,0)</f>
        <v>14:30</v>
      </c>
      <c r="J150" s="10" t="str">
        <f aca="false">VLOOKUP(B150,M:P,4,0)</f>
        <v>CASAZZA PIAZZA PIEVE 4 </v>
      </c>
    </row>
    <row r="151" customFormat="false" ht="12.5" hidden="false" customHeight="false" outlineLevel="0" collapsed="false">
      <c r="A151" s="12" t="n">
        <v>46081</v>
      </c>
      <c r="B151" s="0" t="s">
        <v>506</v>
      </c>
      <c r="C151" s="0" t="s">
        <v>694</v>
      </c>
      <c r="D151" s="0" t="s">
        <v>637</v>
      </c>
      <c r="E151" s="0" t="s">
        <v>311</v>
      </c>
      <c r="F151" s="0" t="n">
        <v>4</v>
      </c>
      <c r="G151" s="0" t="s">
        <v>553</v>
      </c>
      <c r="H151" s="0" t="s">
        <v>742</v>
      </c>
      <c r="I151" s="9" t="str">
        <f aca="false">VLOOKUP(B151,M:O,3,0)</f>
        <v>16:00</v>
      </c>
      <c r="J151" s="10" t="str">
        <f aca="false">VLOOKUP(B151,M:P,4,0)</f>
        <v>VILLONGO/FRAZ.SAN FILASTRO VIA CAMOZZI SNC </v>
      </c>
    </row>
    <row r="152" customFormat="false" ht="12.5" hidden="false" customHeight="false" outlineLevel="0" collapsed="false">
      <c r="A152" s="12" t="n">
        <v>46081</v>
      </c>
      <c r="B152" s="0" t="s">
        <v>378</v>
      </c>
      <c r="C152" s="0" t="s">
        <v>691</v>
      </c>
      <c r="D152" s="0" t="s">
        <v>637</v>
      </c>
      <c r="E152" s="0" t="s">
        <v>311</v>
      </c>
      <c r="F152" s="0" t="n">
        <v>4</v>
      </c>
      <c r="G152" s="0" t="s">
        <v>553</v>
      </c>
      <c r="H152" s="0" t="s">
        <v>742</v>
      </c>
      <c r="I152" s="9" t="str">
        <f aca="false">VLOOKUP(B152,M:O,3,0)</f>
        <v>16:00</v>
      </c>
      <c r="J152" s="10" t="str">
        <f aca="false">VLOOKUP(B152,M:P,4,0)</f>
        <v>CASTELLI CALEPIO/FRAZ.CIVIDINO VIA FERRUCCI </v>
      </c>
    </row>
    <row r="153" customFormat="false" ht="12.5" hidden="false" customHeight="false" outlineLevel="0" collapsed="false">
      <c r="A153" s="12" t="n">
        <v>46088</v>
      </c>
      <c r="B153" s="0" t="s">
        <v>687</v>
      </c>
      <c r="C153" s="0" t="s">
        <v>689</v>
      </c>
      <c r="D153" s="0" t="s">
        <v>637</v>
      </c>
      <c r="E153" s="0" t="s">
        <v>311</v>
      </c>
      <c r="F153" s="0" t="n">
        <v>5</v>
      </c>
      <c r="G153" s="0" t="s">
        <v>553</v>
      </c>
      <c r="H153" s="0" t="s">
        <v>742</v>
      </c>
      <c r="I153" s="9" t="str">
        <f aca="false">VLOOKUP(B153,M:O,3,0)</f>
        <v>14:30</v>
      </c>
      <c r="J153" s="10" t="str">
        <f aca="false">VLOOKUP(B153,M:P,4,0)</f>
        <v>PONTOGLIO VIA LEOPARDI </v>
      </c>
    </row>
    <row r="154" customFormat="false" ht="12.5" hidden="false" customHeight="false" outlineLevel="0" collapsed="false">
      <c r="A154" s="12" t="n">
        <v>46088</v>
      </c>
      <c r="B154" s="0" t="s">
        <v>694</v>
      </c>
      <c r="C154" s="0" t="s">
        <v>378</v>
      </c>
      <c r="D154" s="0" t="s">
        <v>637</v>
      </c>
      <c r="E154" s="0" t="s">
        <v>311</v>
      </c>
      <c r="F154" s="0" t="n">
        <v>5</v>
      </c>
      <c r="G154" s="0" t="s">
        <v>553</v>
      </c>
      <c r="H154" s="0" t="s">
        <v>742</v>
      </c>
      <c r="I154" s="9" t="str">
        <f aca="false">VLOOKUP(B154,M:O,3,0)</f>
        <v>16:30</v>
      </c>
      <c r="J154" s="10" t="str">
        <f aca="false">VLOOKUP(B154,M:P,4,0)</f>
        <v>BOLGARE VIA ORIANA FALLACI </v>
      </c>
    </row>
    <row r="155" customFormat="false" ht="12.5" hidden="false" customHeight="false" outlineLevel="0" collapsed="false">
      <c r="A155" s="12" t="n">
        <v>46088</v>
      </c>
      <c r="B155" s="0" t="s">
        <v>506</v>
      </c>
      <c r="C155" s="0" t="s">
        <v>371</v>
      </c>
      <c r="D155" s="0" t="s">
        <v>637</v>
      </c>
      <c r="E155" s="0" t="s">
        <v>311</v>
      </c>
      <c r="F155" s="0" t="n">
        <v>5</v>
      </c>
      <c r="G155" s="0" t="s">
        <v>553</v>
      </c>
      <c r="H155" s="0" t="s">
        <v>742</v>
      </c>
      <c r="I155" s="9" t="str">
        <f aca="false">VLOOKUP(B155,M:O,3,0)</f>
        <v>16:00</v>
      </c>
      <c r="J155" s="10" t="str">
        <f aca="false">VLOOKUP(B155,M:P,4,0)</f>
        <v>VILLONGO/FRAZ.SAN FILASTRO VIA CAMOZZI SNC </v>
      </c>
    </row>
    <row r="156" customFormat="false" ht="12.5" hidden="false" customHeight="false" outlineLevel="0" collapsed="false">
      <c r="A156" s="12" t="n">
        <v>46088</v>
      </c>
      <c r="B156" s="0" t="s">
        <v>691</v>
      </c>
      <c r="C156" s="0" t="s">
        <v>698</v>
      </c>
      <c r="D156" s="0" t="s">
        <v>637</v>
      </c>
      <c r="E156" s="0" t="s">
        <v>311</v>
      </c>
      <c r="F156" s="0" t="n">
        <v>5</v>
      </c>
      <c r="G156" s="0" t="s">
        <v>553</v>
      </c>
      <c r="H156" s="0" t="s">
        <v>742</v>
      </c>
      <c r="I156" s="9" t="str">
        <f aca="false">VLOOKUP(B156,M:O,3,0)</f>
        <v>14:30</v>
      </c>
      <c r="J156" s="10" t="str">
        <f aca="false">VLOOKUP(B156,M:P,4,0)</f>
        <v>PALOSCO VIA DONIZETTI 9/11 </v>
      </c>
    </row>
    <row r="157" customFormat="false" ht="12.5" hidden="false" customHeight="false" outlineLevel="0" collapsed="false">
      <c r="A157" s="12" t="n">
        <v>46095</v>
      </c>
      <c r="B157" s="0" t="s">
        <v>371</v>
      </c>
      <c r="C157" s="0" t="s">
        <v>684</v>
      </c>
      <c r="D157" s="0" t="s">
        <v>637</v>
      </c>
      <c r="E157" s="0" t="s">
        <v>311</v>
      </c>
      <c r="F157" s="0" t="n">
        <v>6</v>
      </c>
      <c r="G157" s="0" t="s">
        <v>553</v>
      </c>
      <c r="H157" s="0" t="s">
        <v>742</v>
      </c>
      <c r="I157" s="9" t="str">
        <f aca="false">VLOOKUP(B157,M:O,3,0)</f>
        <v>14:30</v>
      </c>
      <c r="J157" s="10" t="str">
        <f aca="false">VLOOKUP(B157,M:P,4,0)</f>
        <v>BERGAMO Q.RE COLOGNOLA VIA S.SISTO 9 </v>
      </c>
    </row>
    <row r="158" customFormat="false" ht="12.5" hidden="false" customHeight="false" outlineLevel="0" collapsed="false">
      <c r="A158" s="12" t="n">
        <v>46095</v>
      </c>
      <c r="B158" s="0" t="s">
        <v>698</v>
      </c>
      <c r="C158" s="0" t="s">
        <v>694</v>
      </c>
      <c r="D158" s="0" t="s">
        <v>637</v>
      </c>
      <c r="E158" s="0" t="s">
        <v>311</v>
      </c>
      <c r="F158" s="0" t="n">
        <v>6</v>
      </c>
      <c r="G158" s="0" t="s">
        <v>553</v>
      </c>
      <c r="H158" s="0" t="s">
        <v>742</v>
      </c>
      <c r="I158" s="9" t="str">
        <f aca="false">VLOOKUP(B158,M:O,3,0)</f>
        <v>14:30</v>
      </c>
      <c r="J158" s="10" t="str">
        <f aca="false">VLOOKUP(B158,M:P,4,0)</f>
        <v>CASNIGO VIA EUROPA </v>
      </c>
    </row>
    <row r="159" customFormat="false" ht="12.5" hidden="false" customHeight="false" outlineLevel="0" collapsed="false">
      <c r="A159" s="12" t="n">
        <v>46095</v>
      </c>
      <c r="B159" s="0" t="s">
        <v>689</v>
      </c>
      <c r="C159" s="0" t="s">
        <v>691</v>
      </c>
      <c r="D159" s="0" t="s">
        <v>637</v>
      </c>
      <c r="E159" s="0" t="s">
        <v>311</v>
      </c>
      <c r="F159" s="0" t="n">
        <v>6</v>
      </c>
      <c r="G159" s="0" t="s">
        <v>553</v>
      </c>
      <c r="H159" s="0" t="s">
        <v>742</v>
      </c>
      <c r="I159" s="9" t="str">
        <f aca="false">VLOOKUP(B159,M:O,3,0)</f>
        <v>14:30</v>
      </c>
      <c r="J159" s="10" t="str">
        <f aca="false">VLOOKUP(B159,M:P,4,0)</f>
        <v>CASAZZA PIAZZA PIEVE 4 </v>
      </c>
    </row>
    <row r="160" customFormat="false" ht="12.5" hidden="false" customHeight="false" outlineLevel="0" collapsed="false">
      <c r="A160" s="12" t="n">
        <v>46095</v>
      </c>
      <c r="B160" s="0" t="s">
        <v>378</v>
      </c>
      <c r="C160" s="0" t="s">
        <v>506</v>
      </c>
      <c r="D160" s="0" t="s">
        <v>637</v>
      </c>
      <c r="E160" s="0" t="s">
        <v>311</v>
      </c>
      <c r="F160" s="0" t="n">
        <v>6</v>
      </c>
      <c r="G160" s="0" t="s">
        <v>553</v>
      </c>
      <c r="H160" s="0" t="s">
        <v>742</v>
      </c>
      <c r="I160" s="9" t="str">
        <f aca="false">VLOOKUP(B160,M:O,3,0)</f>
        <v>16:00</v>
      </c>
      <c r="J160" s="10" t="str">
        <f aca="false">VLOOKUP(B160,M:P,4,0)</f>
        <v>CASTELLI CALEPIO/FRAZ.CIVIDINO VIA FERRUCCI </v>
      </c>
    </row>
    <row r="161" customFormat="false" ht="12.5" hidden="false" customHeight="false" outlineLevel="0" collapsed="false">
      <c r="A161" s="12" t="n">
        <v>46102</v>
      </c>
      <c r="B161" s="0" t="s">
        <v>687</v>
      </c>
      <c r="C161" s="0" t="s">
        <v>684</v>
      </c>
      <c r="D161" s="0" t="s">
        <v>637</v>
      </c>
      <c r="E161" s="0" t="s">
        <v>311</v>
      </c>
      <c r="F161" s="0" t="n">
        <v>7</v>
      </c>
      <c r="G161" s="0" t="s">
        <v>553</v>
      </c>
      <c r="H161" s="0" t="s">
        <v>742</v>
      </c>
      <c r="I161" s="9" t="str">
        <f aca="false">VLOOKUP(B161,M:O,3,0)</f>
        <v>14:30</v>
      </c>
      <c r="J161" s="10" t="str">
        <f aca="false">VLOOKUP(B161,M:P,4,0)</f>
        <v>PONTOGLIO VIA LEOPARDI </v>
      </c>
    </row>
    <row r="162" customFormat="false" ht="12.5" hidden="false" customHeight="false" outlineLevel="0" collapsed="false">
      <c r="A162" s="12" t="n">
        <v>46102</v>
      </c>
      <c r="B162" s="0" t="s">
        <v>694</v>
      </c>
      <c r="C162" s="0" t="s">
        <v>689</v>
      </c>
      <c r="D162" s="0" t="s">
        <v>637</v>
      </c>
      <c r="E162" s="0" t="s">
        <v>311</v>
      </c>
      <c r="F162" s="0" t="n">
        <v>7</v>
      </c>
      <c r="G162" s="0" t="s">
        <v>553</v>
      </c>
      <c r="H162" s="0" t="s">
        <v>742</v>
      </c>
      <c r="I162" s="9" t="str">
        <f aca="false">VLOOKUP(B162,M:O,3,0)</f>
        <v>16:30</v>
      </c>
      <c r="J162" s="10" t="str">
        <f aca="false">VLOOKUP(B162,M:P,4,0)</f>
        <v>BOLGARE VIA ORIANA FALLACI </v>
      </c>
    </row>
    <row r="163" customFormat="false" ht="12.5" hidden="false" customHeight="false" outlineLevel="0" collapsed="false">
      <c r="A163" s="12" t="n">
        <v>46102</v>
      </c>
      <c r="B163" s="0" t="s">
        <v>506</v>
      </c>
      <c r="C163" s="0" t="s">
        <v>698</v>
      </c>
      <c r="D163" s="0" t="s">
        <v>637</v>
      </c>
      <c r="E163" s="0" t="s">
        <v>311</v>
      </c>
      <c r="F163" s="0" t="n">
        <v>7</v>
      </c>
      <c r="G163" s="0" t="s">
        <v>553</v>
      </c>
      <c r="H163" s="0" t="s">
        <v>742</v>
      </c>
      <c r="I163" s="9" t="str">
        <f aca="false">VLOOKUP(B163,M:O,3,0)</f>
        <v>16:00</v>
      </c>
      <c r="J163" s="10" t="str">
        <f aca="false">VLOOKUP(B163,M:P,4,0)</f>
        <v>VILLONGO/FRAZ.SAN FILASTRO VIA CAMOZZI SNC </v>
      </c>
    </row>
    <row r="164" customFormat="false" ht="12.5" hidden="false" customHeight="false" outlineLevel="0" collapsed="false">
      <c r="A164" s="12" t="n">
        <v>46102</v>
      </c>
      <c r="B164" s="0" t="s">
        <v>378</v>
      </c>
      <c r="C164" s="0" t="s">
        <v>371</v>
      </c>
      <c r="D164" s="0" t="s">
        <v>637</v>
      </c>
      <c r="E164" s="0" t="s">
        <v>311</v>
      </c>
      <c r="F164" s="0" t="n">
        <v>7</v>
      </c>
      <c r="G164" s="0" t="s">
        <v>553</v>
      </c>
      <c r="H164" s="0" t="s">
        <v>742</v>
      </c>
      <c r="I164" s="9" t="str">
        <f aca="false">VLOOKUP(B164,M:O,3,0)</f>
        <v>16:00</v>
      </c>
      <c r="J164" s="10" t="str">
        <f aca="false">VLOOKUP(B164,M:P,4,0)</f>
        <v>CASTELLI CALEPIO/FRAZ.CIVIDINO VIA FERRUCCI </v>
      </c>
    </row>
    <row r="165" customFormat="false" ht="12.5" hidden="false" customHeight="false" outlineLevel="0" collapsed="false">
      <c r="A165" s="12" t="n">
        <v>46109</v>
      </c>
      <c r="B165" s="0" t="s">
        <v>684</v>
      </c>
      <c r="C165" s="0" t="s">
        <v>691</v>
      </c>
      <c r="D165" s="0" t="s">
        <v>637</v>
      </c>
      <c r="E165" s="0" t="s">
        <v>311</v>
      </c>
      <c r="F165" s="0" t="n">
        <v>8</v>
      </c>
      <c r="G165" s="0" t="s">
        <v>553</v>
      </c>
      <c r="H165" s="0" t="s">
        <v>742</v>
      </c>
      <c r="I165" s="9" t="str">
        <f aca="false">VLOOKUP(B165,M:O,3,0)</f>
        <v>14:30</v>
      </c>
      <c r="J165" s="10" t="str">
        <f aca="false">VLOOKUP(B165,M:P,4,0)</f>
        <v>CALCIO VIA SCHIEPPATI 23 </v>
      </c>
    </row>
    <row r="166" customFormat="false" ht="12.5" hidden="false" customHeight="false" outlineLevel="0" collapsed="false">
      <c r="A166" s="12" t="n">
        <v>46109</v>
      </c>
      <c r="B166" s="0" t="s">
        <v>687</v>
      </c>
      <c r="C166" s="0" t="s">
        <v>371</v>
      </c>
      <c r="D166" s="0" t="s">
        <v>637</v>
      </c>
      <c r="E166" s="0" t="s">
        <v>311</v>
      </c>
      <c r="F166" s="0" t="n">
        <v>8</v>
      </c>
      <c r="G166" s="0" t="s">
        <v>553</v>
      </c>
      <c r="H166" s="0" t="s">
        <v>742</v>
      </c>
      <c r="I166" s="9" t="str">
        <f aca="false">VLOOKUP(B166,M:O,3,0)</f>
        <v>14:30</v>
      </c>
      <c r="J166" s="10" t="str">
        <f aca="false">VLOOKUP(B166,M:P,4,0)</f>
        <v>PONTOGLIO VIA LEOPARDI </v>
      </c>
    </row>
    <row r="167" customFormat="false" ht="12.5" hidden="false" customHeight="false" outlineLevel="0" collapsed="false">
      <c r="A167" s="12" t="n">
        <v>46109</v>
      </c>
      <c r="B167" s="0" t="s">
        <v>698</v>
      </c>
      <c r="C167" s="0" t="s">
        <v>378</v>
      </c>
      <c r="D167" s="0" t="s">
        <v>637</v>
      </c>
      <c r="E167" s="0" t="s">
        <v>311</v>
      </c>
      <c r="F167" s="0" t="n">
        <v>8</v>
      </c>
      <c r="G167" s="0" t="s">
        <v>553</v>
      </c>
      <c r="H167" s="0" t="s">
        <v>742</v>
      </c>
      <c r="I167" s="9" t="str">
        <f aca="false">VLOOKUP(B167,M:O,3,0)</f>
        <v>14:30</v>
      </c>
      <c r="J167" s="10" t="str">
        <f aca="false">VLOOKUP(B167,M:P,4,0)</f>
        <v>CASNIGO VIA EUROPA </v>
      </c>
    </row>
    <row r="168" customFormat="false" ht="12.5" hidden="false" customHeight="false" outlineLevel="0" collapsed="false">
      <c r="A168" s="12" t="n">
        <v>46109</v>
      </c>
      <c r="B168" s="0" t="s">
        <v>689</v>
      </c>
      <c r="C168" s="0" t="s">
        <v>506</v>
      </c>
      <c r="D168" s="0" t="s">
        <v>637</v>
      </c>
      <c r="E168" s="0" t="s">
        <v>311</v>
      </c>
      <c r="F168" s="0" t="n">
        <v>8</v>
      </c>
      <c r="G168" s="0" t="s">
        <v>553</v>
      </c>
      <c r="H168" s="0" t="s">
        <v>742</v>
      </c>
      <c r="I168" s="9" t="str">
        <f aca="false">VLOOKUP(B168,M:O,3,0)</f>
        <v>14:30</v>
      </c>
      <c r="J168" s="10" t="str">
        <f aca="false">VLOOKUP(B168,M:P,4,0)</f>
        <v>CASAZZA PIAZZA PIEVE 4 </v>
      </c>
    </row>
    <row r="169" customFormat="false" ht="12.5" hidden="false" customHeight="false" outlineLevel="0" collapsed="false">
      <c r="A169" s="12" t="n">
        <v>46123</v>
      </c>
      <c r="B169" s="0" t="s">
        <v>371</v>
      </c>
      <c r="C169" s="0" t="s">
        <v>698</v>
      </c>
      <c r="D169" s="0" t="s">
        <v>637</v>
      </c>
      <c r="E169" s="0" t="s">
        <v>311</v>
      </c>
      <c r="F169" s="0" t="n">
        <v>9</v>
      </c>
      <c r="G169" s="0" t="s">
        <v>553</v>
      </c>
      <c r="H169" s="0" t="s">
        <v>742</v>
      </c>
      <c r="I169" s="9" t="str">
        <f aca="false">VLOOKUP(B169,M:O,3,0)</f>
        <v>14:30</v>
      </c>
      <c r="J169" s="10" t="str">
        <f aca="false">VLOOKUP(B169,M:P,4,0)</f>
        <v>BERGAMO Q.RE COLOGNOLA VIA S.SISTO 9 </v>
      </c>
    </row>
    <row r="170" customFormat="false" ht="12.5" hidden="false" customHeight="false" outlineLevel="0" collapsed="false">
      <c r="A170" s="12" t="n">
        <v>46123</v>
      </c>
      <c r="B170" s="0" t="s">
        <v>694</v>
      </c>
      <c r="C170" s="0" t="s">
        <v>684</v>
      </c>
      <c r="D170" s="0" t="s">
        <v>637</v>
      </c>
      <c r="E170" s="0" t="s">
        <v>311</v>
      </c>
      <c r="F170" s="0" t="n">
        <v>9</v>
      </c>
      <c r="G170" s="0" t="s">
        <v>553</v>
      </c>
      <c r="H170" s="0" t="s">
        <v>742</v>
      </c>
      <c r="I170" s="9" t="str">
        <f aca="false">VLOOKUP(B170,M:O,3,0)</f>
        <v>16:30</v>
      </c>
      <c r="J170" s="10" t="str">
        <f aca="false">VLOOKUP(B170,M:P,4,0)</f>
        <v>BOLGARE VIA ORIANA FALLACI </v>
      </c>
    </row>
    <row r="171" customFormat="false" ht="12.5" hidden="false" customHeight="false" outlineLevel="0" collapsed="false">
      <c r="A171" s="12" t="n">
        <v>46123</v>
      </c>
      <c r="B171" s="0" t="s">
        <v>378</v>
      </c>
      <c r="C171" s="0" t="s">
        <v>689</v>
      </c>
      <c r="D171" s="0" t="s">
        <v>637</v>
      </c>
      <c r="E171" s="0" t="s">
        <v>311</v>
      </c>
      <c r="F171" s="0" t="n">
        <v>9</v>
      </c>
      <c r="G171" s="0" t="s">
        <v>553</v>
      </c>
      <c r="H171" s="0" t="s">
        <v>742</v>
      </c>
      <c r="I171" s="9" t="str">
        <f aca="false">VLOOKUP(B171,M:O,3,0)</f>
        <v>16:00</v>
      </c>
      <c r="J171" s="10" t="str">
        <f aca="false">VLOOKUP(B171,M:P,4,0)</f>
        <v>CASTELLI CALEPIO/FRAZ.CIVIDINO VIA FERRUCCI </v>
      </c>
    </row>
    <row r="172" customFormat="false" ht="12.5" hidden="false" customHeight="false" outlineLevel="0" collapsed="false">
      <c r="A172" s="12" t="n">
        <v>46123</v>
      </c>
      <c r="B172" s="0" t="s">
        <v>691</v>
      </c>
      <c r="C172" s="0" t="s">
        <v>687</v>
      </c>
      <c r="D172" s="0" t="s">
        <v>637</v>
      </c>
      <c r="E172" s="0" t="s">
        <v>311</v>
      </c>
      <c r="F172" s="0" t="n">
        <v>9</v>
      </c>
      <c r="G172" s="0" t="s">
        <v>553</v>
      </c>
      <c r="H172" s="0" t="s">
        <v>290</v>
      </c>
      <c r="I172" s="9" t="str">
        <f aca="false">VLOOKUP(B172,M:O,3,0)</f>
        <v>14:30</v>
      </c>
      <c r="J172" s="10" t="str">
        <f aca="false">VLOOKUP(B172,M:P,4,0)</f>
        <v>PALOSCO VIA DONIZETTI 9/11 </v>
      </c>
    </row>
    <row r="173" customFormat="false" ht="12.5" hidden="false" customHeight="false" outlineLevel="0" collapsed="false">
      <c r="A173" s="12" t="n">
        <v>46060</v>
      </c>
      <c r="B173" s="0" t="s">
        <v>700</v>
      </c>
      <c r="C173" s="0" t="s">
        <v>707</v>
      </c>
      <c r="D173" s="0" t="s">
        <v>637</v>
      </c>
      <c r="E173" s="0" t="s">
        <v>408</v>
      </c>
      <c r="F173" s="0" t="n">
        <v>1</v>
      </c>
      <c r="G173" s="0" t="s">
        <v>553</v>
      </c>
      <c r="H173" s="0" t="s">
        <v>742</v>
      </c>
      <c r="I173" s="9" t="str">
        <f aca="false">VLOOKUP(B173,M:O,3,0)</f>
        <v>14:30</v>
      </c>
      <c r="J173" s="10" t="str">
        <f aca="false">VLOOKUP(B173,M:P,4,0)</f>
        <v>PONTOGLIO VIA LEOPARDI </v>
      </c>
    </row>
    <row r="174" customFormat="false" ht="25" hidden="false" customHeight="false" outlineLevel="0" collapsed="false">
      <c r="A174" s="12" t="n">
        <v>46060</v>
      </c>
      <c r="B174" s="0" t="s">
        <v>702</v>
      </c>
      <c r="C174" s="0" t="s">
        <v>709</v>
      </c>
      <c r="D174" s="0" t="s">
        <v>637</v>
      </c>
      <c r="E174" s="0" t="s">
        <v>408</v>
      </c>
      <c r="F174" s="0" t="n">
        <v>1</v>
      </c>
      <c r="G174" s="0" t="s">
        <v>553</v>
      </c>
      <c r="H174" s="0" t="s">
        <v>742</v>
      </c>
      <c r="I174" s="9" t="str">
        <f aca="false">VLOOKUP(B174,M:O,3,0)</f>
        <v>14:30</v>
      </c>
      <c r="J174" s="10" t="str">
        <f aca="false">VLOOKUP(B174,M:P,4,0)</f>
        <v>FARA OLIVANA CON SOLA VIA VITTORIO EMANUELE SNC </v>
      </c>
    </row>
    <row r="175" customFormat="false" ht="12.5" hidden="false" customHeight="false" outlineLevel="0" collapsed="false">
      <c r="A175" s="12" t="n">
        <v>46060</v>
      </c>
      <c r="B175" s="0" t="s">
        <v>704</v>
      </c>
      <c r="C175" s="0" t="s">
        <v>411</v>
      </c>
      <c r="D175" s="0" t="s">
        <v>637</v>
      </c>
      <c r="E175" s="0" t="s">
        <v>408</v>
      </c>
      <c r="F175" s="0" t="n">
        <v>1</v>
      </c>
      <c r="G175" s="0" t="s">
        <v>553</v>
      </c>
      <c r="H175" s="0" t="s">
        <v>742</v>
      </c>
      <c r="I175" s="9" t="str">
        <f aca="false">VLOOKUP(B175,M:O,3,0)</f>
        <v>15:00</v>
      </c>
      <c r="J175" s="10" t="str">
        <f aca="false">VLOOKUP(B175,M:P,4,0)</f>
        <v>CALVENZANO VIA ROMA 10 </v>
      </c>
    </row>
    <row r="176" customFormat="false" ht="12.5" hidden="false" customHeight="false" outlineLevel="0" collapsed="false">
      <c r="A176" s="12" t="n">
        <v>46060</v>
      </c>
      <c r="B176" s="0" t="s">
        <v>706</v>
      </c>
      <c r="C176" s="0" t="s">
        <v>711</v>
      </c>
      <c r="D176" s="0" t="s">
        <v>637</v>
      </c>
      <c r="E176" s="0" t="s">
        <v>408</v>
      </c>
      <c r="F176" s="0" t="n">
        <v>1</v>
      </c>
      <c r="G176" s="0" t="s">
        <v>553</v>
      </c>
      <c r="H176" s="0" t="s">
        <v>742</v>
      </c>
      <c r="I176" s="9" t="str">
        <f aca="false">VLOOKUP(B176,M:O,3,0)</f>
        <v>14:30</v>
      </c>
      <c r="J176" s="10" t="str">
        <f aca="false">VLOOKUP(B176,M:P,4,0)</f>
        <v>TREVIGLIO VIA AI MALGARI 1 </v>
      </c>
    </row>
    <row r="177" customFormat="false" ht="12.5" hidden="false" customHeight="false" outlineLevel="0" collapsed="false">
      <c r="A177" s="12" t="n">
        <v>46067</v>
      </c>
      <c r="B177" s="0" t="s">
        <v>411</v>
      </c>
      <c r="C177" s="0" t="s">
        <v>700</v>
      </c>
      <c r="D177" s="0" t="s">
        <v>637</v>
      </c>
      <c r="E177" s="0" t="s">
        <v>408</v>
      </c>
      <c r="F177" s="0" t="n">
        <v>2</v>
      </c>
      <c r="G177" s="0" t="s">
        <v>553</v>
      </c>
      <c r="H177" s="0" t="s">
        <v>742</v>
      </c>
      <c r="I177" s="9" t="str">
        <f aca="false">VLOOKUP(B177,M:O,3,0)</f>
        <v>14:15</v>
      </c>
      <c r="J177" s="10" t="str">
        <f aca="false">VLOOKUP(B177,M:P,4,0)</f>
        <v>MAPELLO VIA DEL LAZZARINO 1 </v>
      </c>
    </row>
    <row r="178" customFormat="false" ht="12.5" hidden="false" customHeight="false" outlineLevel="0" collapsed="false">
      <c r="A178" s="12" t="n">
        <v>46067</v>
      </c>
      <c r="B178" s="0" t="s">
        <v>707</v>
      </c>
      <c r="C178" s="0" t="s">
        <v>702</v>
      </c>
      <c r="D178" s="0" t="s">
        <v>637</v>
      </c>
      <c r="E178" s="0" t="s">
        <v>408</v>
      </c>
      <c r="F178" s="0" t="n">
        <v>2</v>
      </c>
      <c r="G178" s="0" t="s">
        <v>553</v>
      </c>
      <c r="H178" s="0" t="s">
        <v>742</v>
      </c>
      <c r="I178" s="9" t="str">
        <f aca="false">VLOOKUP(B178,M:O,3,0)</f>
        <v>15:00</v>
      </c>
      <c r="J178" s="10" t="str">
        <f aca="false">VLOOKUP(B178,M:P,4,0)</f>
        <v>AZZANO SAN PAOLO VIA STEZZANO 33 </v>
      </c>
    </row>
    <row r="179" customFormat="false" ht="12.5" hidden="false" customHeight="false" outlineLevel="0" collapsed="false">
      <c r="A179" s="12" t="n">
        <v>46067</v>
      </c>
      <c r="B179" s="0" t="s">
        <v>709</v>
      </c>
      <c r="C179" s="0" t="s">
        <v>706</v>
      </c>
      <c r="D179" s="0" t="s">
        <v>637</v>
      </c>
      <c r="E179" s="0" t="s">
        <v>408</v>
      </c>
      <c r="F179" s="0" t="n">
        <v>2</v>
      </c>
      <c r="G179" s="0" t="s">
        <v>553</v>
      </c>
      <c r="H179" s="0" t="s">
        <v>742</v>
      </c>
      <c r="I179" s="9" t="str">
        <f aca="false">VLOOKUP(B179,M:O,3,0)</f>
        <v>14:30</v>
      </c>
      <c r="J179" s="10" t="str">
        <f aca="false">VLOOKUP(B179,M:P,4,0)</f>
        <v>CORTENUOVA VIA GAETANO DONIZETTI </v>
      </c>
    </row>
    <row r="180" customFormat="false" ht="12.5" hidden="false" customHeight="false" outlineLevel="0" collapsed="false">
      <c r="A180" s="12" t="n">
        <v>46067</v>
      </c>
      <c r="B180" s="0" t="s">
        <v>713</v>
      </c>
      <c r="C180" s="0" t="s">
        <v>704</v>
      </c>
      <c r="D180" s="0" t="s">
        <v>637</v>
      </c>
      <c r="E180" s="0" t="s">
        <v>408</v>
      </c>
      <c r="F180" s="0" t="n">
        <v>2</v>
      </c>
      <c r="G180" s="0" t="s">
        <v>553</v>
      </c>
      <c r="H180" s="0" t="s">
        <v>742</v>
      </c>
      <c r="I180" s="9" t="str">
        <f aca="false">VLOOKUP(B180,M:O,3,0)</f>
        <v>15:30</v>
      </c>
      <c r="J180" s="10" t="str">
        <f aca="false">VLOOKUP(B180,M:P,4,0)</f>
        <v>STEZZANO VIA BERGAMO 13</v>
      </c>
    </row>
    <row r="181" customFormat="false" ht="12.5" hidden="false" customHeight="false" outlineLevel="0" collapsed="false">
      <c r="A181" s="12" t="n">
        <v>46074</v>
      </c>
      <c r="B181" s="0" t="s">
        <v>707</v>
      </c>
      <c r="C181" s="0" t="s">
        <v>709</v>
      </c>
      <c r="D181" s="0" t="s">
        <v>637</v>
      </c>
      <c r="E181" s="0" t="s">
        <v>408</v>
      </c>
      <c r="F181" s="0" t="n">
        <v>3</v>
      </c>
      <c r="G181" s="0" t="s">
        <v>553</v>
      </c>
      <c r="H181" s="0" t="s">
        <v>742</v>
      </c>
      <c r="I181" s="9" t="str">
        <f aca="false">VLOOKUP(B181,M:O,3,0)</f>
        <v>15:00</v>
      </c>
      <c r="J181" s="10" t="str">
        <f aca="false">VLOOKUP(B181,M:P,4,0)</f>
        <v>AZZANO SAN PAOLO VIA STEZZANO 33 </v>
      </c>
    </row>
    <row r="182" customFormat="false" ht="12.5" hidden="false" customHeight="false" outlineLevel="0" collapsed="false">
      <c r="A182" s="12" t="n">
        <v>46074</v>
      </c>
      <c r="B182" s="0" t="s">
        <v>700</v>
      </c>
      <c r="C182" s="0" t="s">
        <v>713</v>
      </c>
      <c r="D182" s="0" t="s">
        <v>637</v>
      </c>
      <c r="E182" s="0" t="s">
        <v>408</v>
      </c>
      <c r="F182" s="0" t="n">
        <v>3</v>
      </c>
      <c r="G182" s="0" t="s">
        <v>553</v>
      </c>
      <c r="H182" s="0" t="s">
        <v>742</v>
      </c>
      <c r="I182" s="9" t="str">
        <f aca="false">VLOOKUP(B182,M:O,3,0)</f>
        <v>14:30</v>
      </c>
      <c r="J182" s="10" t="str">
        <f aca="false">VLOOKUP(B182,M:P,4,0)</f>
        <v>PONTOGLIO VIA LEOPARDI </v>
      </c>
    </row>
    <row r="183" customFormat="false" ht="25" hidden="false" customHeight="false" outlineLevel="0" collapsed="false">
      <c r="A183" s="12" t="n">
        <v>46074</v>
      </c>
      <c r="B183" s="0" t="s">
        <v>702</v>
      </c>
      <c r="C183" s="0" t="s">
        <v>411</v>
      </c>
      <c r="D183" s="0" t="s">
        <v>637</v>
      </c>
      <c r="E183" s="0" t="s">
        <v>408</v>
      </c>
      <c r="F183" s="0" t="n">
        <v>3</v>
      </c>
      <c r="G183" s="0" t="s">
        <v>553</v>
      </c>
      <c r="H183" s="0" t="s">
        <v>742</v>
      </c>
      <c r="I183" s="9" t="str">
        <f aca="false">VLOOKUP(B183,M:O,3,0)</f>
        <v>14:30</v>
      </c>
      <c r="J183" s="10" t="str">
        <f aca="false">VLOOKUP(B183,M:P,4,0)</f>
        <v>FARA OLIVANA CON SOLA VIA VITTORIO EMANUELE SNC </v>
      </c>
    </row>
    <row r="184" customFormat="false" ht="12.5" hidden="false" customHeight="false" outlineLevel="0" collapsed="false">
      <c r="A184" s="12" t="n">
        <v>46074</v>
      </c>
      <c r="B184" s="0" t="s">
        <v>704</v>
      </c>
      <c r="C184" s="0" t="s">
        <v>711</v>
      </c>
      <c r="D184" s="0" t="s">
        <v>637</v>
      </c>
      <c r="E184" s="0" t="s">
        <v>408</v>
      </c>
      <c r="F184" s="0" t="n">
        <v>3</v>
      </c>
      <c r="G184" s="0" t="s">
        <v>553</v>
      </c>
      <c r="H184" s="0" t="s">
        <v>742</v>
      </c>
      <c r="I184" s="9" t="str">
        <f aca="false">VLOOKUP(B184,M:O,3,0)</f>
        <v>15:00</v>
      </c>
      <c r="J184" s="10" t="str">
        <f aca="false">VLOOKUP(B184,M:P,4,0)</f>
        <v>CALVENZANO VIA ROMA 10 </v>
      </c>
    </row>
    <row r="185" customFormat="false" ht="12.5" hidden="false" customHeight="false" outlineLevel="0" collapsed="false">
      <c r="A185" s="12" t="n">
        <v>46081</v>
      </c>
      <c r="B185" s="0" t="s">
        <v>411</v>
      </c>
      <c r="C185" s="0" t="s">
        <v>707</v>
      </c>
      <c r="D185" s="0" t="s">
        <v>637</v>
      </c>
      <c r="E185" s="0" t="s">
        <v>408</v>
      </c>
      <c r="F185" s="0" t="n">
        <v>4</v>
      </c>
      <c r="G185" s="0" t="s">
        <v>553</v>
      </c>
      <c r="H185" s="0" t="s">
        <v>742</v>
      </c>
      <c r="I185" s="9" t="str">
        <f aca="false">VLOOKUP(B185,M:O,3,0)</f>
        <v>14:15</v>
      </c>
      <c r="J185" s="10" t="str">
        <f aca="false">VLOOKUP(B185,M:P,4,0)</f>
        <v>MAPELLO VIA DEL LAZZARINO 1 </v>
      </c>
    </row>
    <row r="186" customFormat="false" ht="12.5" hidden="false" customHeight="false" outlineLevel="0" collapsed="false">
      <c r="A186" s="12" t="n">
        <v>46081</v>
      </c>
      <c r="B186" s="0" t="s">
        <v>711</v>
      </c>
      <c r="C186" s="0" t="s">
        <v>700</v>
      </c>
      <c r="D186" s="0" t="s">
        <v>637</v>
      </c>
      <c r="E186" s="0" t="s">
        <v>408</v>
      </c>
      <c r="F186" s="0" t="n">
        <v>4</v>
      </c>
      <c r="G186" s="0" t="s">
        <v>553</v>
      </c>
      <c r="H186" s="0" t="s">
        <v>742</v>
      </c>
      <c r="I186" s="9" t="str">
        <f aca="false">VLOOKUP(B186,M:O,3,0)</f>
        <v>15:30</v>
      </c>
      <c r="J186" s="10" t="str">
        <f aca="false">VLOOKUP(B186,M:P,4,0)</f>
        <v>PONTIROLO NUOVO VIA ARMANDO DIAZ 22 </v>
      </c>
    </row>
    <row r="187" customFormat="false" ht="12.5" hidden="false" customHeight="false" outlineLevel="0" collapsed="false">
      <c r="A187" s="12" t="n">
        <v>46081</v>
      </c>
      <c r="B187" s="0" t="s">
        <v>713</v>
      </c>
      <c r="C187" s="0" t="s">
        <v>702</v>
      </c>
      <c r="D187" s="0" t="s">
        <v>637</v>
      </c>
      <c r="E187" s="0" t="s">
        <v>408</v>
      </c>
      <c r="F187" s="0" t="n">
        <v>4</v>
      </c>
      <c r="G187" s="0" t="s">
        <v>553</v>
      </c>
      <c r="H187" s="0" t="s">
        <v>742</v>
      </c>
      <c r="I187" s="9" t="str">
        <f aca="false">VLOOKUP(B187,M:O,3,0)</f>
        <v>15:30</v>
      </c>
      <c r="J187" s="10" t="str">
        <f aca="false">VLOOKUP(B187,M:P,4,0)</f>
        <v>STEZZANO VIA BERGAMO 13</v>
      </c>
    </row>
    <row r="188" customFormat="false" ht="12.5" hidden="false" customHeight="false" outlineLevel="0" collapsed="false">
      <c r="A188" s="12" t="n">
        <v>46081</v>
      </c>
      <c r="B188" s="0" t="s">
        <v>706</v>
      </c>
      <c r="C188" s="0" t="s">
        <v>704</v>
      </c>
      <c r="D188" s="0" t="s">
        <v>637</v>
      </c>
      <c r="E188" s="0" t="s">
        <v>408</v>
      </c>
      <c r="F188" s="0" t="n">
        <v>4</v>
      </c>
      <c r="G188" s="0" t="s">
        <v>553</v>
      </c>
      <c r="H188" s="0" t="s">
        <v>742</v>
      </c>
      <c r="I188" s="9" t="str">
        <f aca="false">VLOOKUP(B188,M:O,3,0)</f>
        <v>14:30</v>
      </c>
      <c r="J188" s="10" t="str">
        <f aca="false">VLOOKUP(B188,M:P,4,0)</f>
        <v>TREVIGLIO VIA AI MALGARI 1 </v>
      </c>
    </row>
    <row r="189" customFormat="false" ht="12.5" hidden="false" customHeight="false" outlineLevel="0" collapsed="false">
      <c r="A189" s="12" t="n">
        <v>46088</v>
      </c>
      <c r="B189" s="0" t="s">
        <v>411</v>
      </c>
      <c r="C189" s="0" t="s">
        <v>709</v>
      </c>
      <c r="D189" s="0" t="s">
        <v>637</v>
      </c>
      <c r="E189" s="0" t="s">
        <v>408</v>
      </c>
      <c r="F189" s="0" t="n">
        <v>5</v>
      </c>
      <c r="G189" s="0" t="s">
        <v>553</v>
      </c>
      <c r="H189" s="0" t="s">
        <v>742</v>
      </c>
      <c r="I189" s="9" t="str">
        <f aca="false">VLOOKUP(B189,M:O,3,0)</f>
        <v>14:15</v>
      </c>
      <c r="J189" s="10" t="str">
        <f aca="false">VLOOKUP(B189,M:P,4,0)</f>
        <v>MAPELLO VIA DEL LAZZARINO 1 </v>
      </c>
    </row>
    <row r="190" customFormat="false" ht="12.5" hidden="false" customHeight="false" outlineLevel="0" collapsed="false">
      <c r="A190" s="12" t="n">
        <v>46088</v>
      </c>
      <c r="B190" s="0" t="s">
        <v>707</v>
      </c>
      <c r="C190" s="0" t="s">
        <v>713</v>
      </c>
      <c r="D190" s="0" t="s">
        <v>637</v>
      </c>
      <c r="E190" s="0" t="s">
        <v>408</v>
      </c>
      <c r="F190" s="0" t="n">
        <v>5</v>
      </c>
      <c r="G190" s="0" t="s">
        <v>553</v>
      </c>
      <c r="H190" s="0" t="s">
        <v>742</v>
      </c>
      <c r="I190" s="9" t="str">
        <f aca="false">VLOOKUP(B190,M:O,3,0)</f>
        <v>15:00</v>
      </c>
      <c r="J190" s="10" t="str">
        <f aca="false">VLOOKUP(B190,M:P,4,0)</f>
        <v>AZZANO SAN PAOLO VIA STEZZANO 33 </v>
      </c>
    </row>
    <row r="191" customFormat="false" ht="12.5" hidden="false" customHeight="false" outlineLevel="0" collapsed="false">
      <c r="A191" s="12" t="n">
        <v>46088</v>
      </c>
      <c r="B191" s="0" t="s">
        <v>700</v>
      </c>
      <c r="C191" s="0" t="s">
        <v>706</v>
      </c>
      <c r="D191" s="0" t="s">
        <v>637</v>
      </c>
      <c r="E191" s="0" t="s">
        <v>408</v>
      </c>
      <c r="F191" s="0" t="n">
        <v>5</v>
      </c>
      <c r="G191" s="0" t="s">
        <v>553</v>
      </c>
      <c r="H191" s="0" t="s">
        <v>742</v>
      </c>
      <c r="I191" s="9" t="str">
        <f aca="false">VLOOKUP(B191,M:O,3,0)</f>
        <v>14:30</v>
      </c>
      <c r="J191" s="10" t="str">
        <f aca="false">VLOOKUP(B191,M:P,4,0)</f>
        <v>PONTOGLIO VIA LEOPARDI </v>
      </c>
    </row>
    <row r="192" customFormat="false" ht="25" hidden="false" customHeight="false" outlineLevel="0" collapsed="false">
      <c r="A192" s="12" t="n">
        <v>46088</v>
      </c>
      <c r="B192" s="0" t="s">
        <v>702</v>
      </c>
      <c r="C192" s="0" t="s">
        <v>711</v>
      </c>
      <c r="D192" s="0" t="s">
        <v>637</v>
      </c>
      <c r="E192" s="0" t="s">
        <v>408</v>
      </c>
      <c r="F192" s="0" t="n">
        <v>5</v>
      </c>
      <c r="G192" s="0" t="s">
        <v>553</v>
      </c>
      <c r="H192" s="0" t="s">
        <v>290</v>
      </c>
      <c r="I192" s="9" t="str">
        <f aca="false">VLOOKUP(B192,M:O,3,0)</f>
        <v>14:30</v>
      </c>
      <c r="J192" s="10" t="str">
        <f aca="false">VLOOKUP(B192,M:P,4,0)</f>
        <v>FARA OLIVANA CON SOLA VIA VITTORIO EMANUELE SNC </v>
      </c>
    </row>
    <row r="193" customFormat="false" ht="12.5" hidden="false" customHeight="false" outlineLevel="0" collapsed="false">
      <c r="A193" s="12" t="n">
        <v>46095</v>
      </c>
      <c r="B193" s="0" t="s">
        <v>711</v>
      </c>
      <c r="C193" s="0" t="s">
        <v>707</v>
      </c>
      <c r="D193" s="0" t="s">
        <v>637</v>
      </c>
      <c r="E193" s="0" t="s">
        <v>408</v>
      </c>
      <c r="F193" s="0" t="n">
        <v>6</v>
      </c>
      <c r="G193" s="0" t="s">
        <v>553</v>
      </c>
      <c r="H193" s="0" t="s">
        <v>742</v>
      </c>
      <c r="I193" s="9" t="str">
        <f aca="false">VLOOKUP(B193,M:O,3,0)</f>
        <v>15:30</v>
      </c>
      <c r="J193" s="10" t="str">
        <f aca="false">VLOOKUP(B193,M:P,4,0)</f>
        <v>PONTIROLO NUOVO VIA ARMANDO DIAZ 22 </v>
      </c>
    </row>
    <row r="194" customFormat="false" ht="12.5" hidden="false" customHeight="false" outlineLevel="0" collapsed="false">
      <c r="A194" s="12" t="n">
        <v>46095</v>
      </c>
      <c r="B194" s="0" t="s">
        <v>709</v>
      </c>
      <c r="C194" s="0" t="s">
        <v>704</v>
      </c>
      <c r="D194" s="0" t="s">
        <v>637</v>
      </c>
      <c r="E194" s="0" t="s">
        <v>408</v>
      </c>
      <c r="F194" s="0" t="n">
        <v>6</v>
      </c>
      <c r="G194" s="0" t="s">
        <v>553</v>
      </c>
      <c r="H194" s="0" t="s">
        <v>742</v>
      </c>
      <c r="I194" s="9" t="str">
        <f aca="false">VLOOKUP(B194,M:O,3,0)</f>
        <v>14:30</v>
      </c>
      <c r="J194" s="10" t="str">
        <f aca="false">VLOOKUP(B194,M:P,4,0)</f>
        <v>CORTENUOVA VIA GAETANO DONIZETTI </v>
      </c>
    </row>
    <row r="195" customFormat="false" ht="12.5" hidden="false" customHeight="false" outlineLevel="0" collapsed="false">
      <c r="A195" s="12" t="n">
        <v>46095</v>
      </c>
      <c r="B195" s="0" t="s">
        <v>713</v>
      </c>
      <c r="C195" s="0" t="s">
        <v>411</v>
      </c>
      <c r="D195" s="0" t="s">
        <v>637</v>
      </c>
      <c r="E195" s="0" t="s">
        <v>408</v>
      </c>
      <c r="F195" s="0" t="n">
        <v>6</v>
      </c>
      <c r="G195" s="0" t="s">
        <v>553</v>
      </c>
      <c r="H195" s="0" t="s">
        <v>742</v>
      </c>
      <c r="I195" s="9" t="str">
        <f aca="false">VLOOKUP(B195,M:O,3,0)</f>
        <v>15:30</v>
      </c>
      <c r="J195" s="10" t="str">
        <f aca="false">VLOOKUP(B195,M:P,4,0)</f>
        <v>STEZZANO VIA BERGAMO 13</v>
      </c>
    </row>
    <row r="196" customFormat="false" ht="12.5" hidden="false" customHeight="false" outlineLevel="0" collapsed="false">
      <c r="A196" s="12" t="n">
        <v>46095</v>
      </c>
      <c r="B196" s="0" t="s">
        <v>706</v>
      </c>
      <c r="C196" s="0" t="s">
        <v>702</v>
      </c>
      <c r="D196" s="0" t="s">
        <v>637</v>
      </c>
      <c r="E196" s="0" t="s">
        <v>408</v>
      </c>
      <c r="F196" s="0" t="n">
        <v>6</v>
      </c>
      <c r="G196" s="0" t="s">
        <v>553</v>
      </c>
      <c r="H196" s="0" t="s">
        <v>742</v>
      </c>
      <c r="I196" s="9" t="str">
        <f aca="false">VLOOKUP(B196,M:O,3,0)</f>
        <v>14:30</v>
      </c>
      <c r="J196" s="10" t="str">
        <f aca="false">VLOOKUP(B196,M:P,4,0)</f>
        <v>TREVIGLIO VIA AI MALGARI 1 </v>
      </c>
    </row>
    <row r="197" customFormat="false" ht="12.5" hidden="false" customHeight="false" outlineLevel="0" collapsed="false">
      <c r="A197" s="12" t="n">
        <v>46102</v>
      </c>
      <c r="B197" s="0" t="s">
        <v>411</v>
      </c>
      <c r="C197" s="0" t="s">
        <v>711</v>
      </c>
      <c r="D197" s="0" t="s">
        <v>637</v>
      </c>
      <c r="E197" s="0" t="s">
        <v>408</v>
      </c>
      <c r="F197" s="0" t="n">
        <v>7</v>
      </c>
      <c r="G197" s="0" t="s">
        <v>553</v>
      </c>
      <c r="H197" s="0" t="s">
        <v>742</v>
      </c>
      <c r="I197" s="9" t="str">
        <f aca="false">VLOOKUP(B197,M:O,3,0)</f>
        <v>14:15</v>
      </c>
      <c r="J197" s="10" t="str">
        <f aca="false">VLOOKUP(B197,M:P,4,0)</f>
        <v>MAPELLO VIA DEL LAZZARINO 1 </v>
      </c>
    </row>
    <row r="198" customFormat="false" ht="12.5" hidden="false" customHeight="false" outlineLevel="0" collapsed="false">
      <c r="A198" s="12" t="n">
        <v>46102</v>
      </c>
      <c r="B198" s="0" t="s">
        <v>707</v>
      </c>
      <c r="C198" s="0" t="s">
        <v>706</v>
      </c>
      <c r="D198" s="0" t="s">
        <v>637</v>
      </c>
      <c r="E198" s="0" t="s">
        <v>408</v>
      </c>
      <c r="F198" s="0" t="n">
        <v>7</v>
      </c>
      <c r="G198" s="0" t="s">
        <v>553</v>
      </c>
      <c r="H198" s="0" t="s">
        <v>742</v>
      </c>
      <c r="I198" s="9" t="str">
        <f aca="false">VLOOKUP(B198,M:O,3,0)</f>
        <v>15:00</v>
      </c>
      <c r="J198" s="10" t="str">
        <f aca="false">VLOOKUP(B198,M:P,4,0)</f>
        <v>AZZANO SAN PAOLO VIA STEZZANO 33 </v>
      </c>
    </row>
    <row r="199" customFormat="false" ht="12.5" hidden="false" customHeight="false" outlineLevel="0" collapsed="false">
      <c r="A199" s="12" t="n">
        <v>46102</v>
      </c>
      <c r="B199" s="0" t="s">
        <v>700</v>
      </c>
      <c r="C199" s="0" t="s">
        <v>704</v>
      </c>
      <c r="D199" s="0" t="s">
        <v>637</v>
      </c>
      <c r="E199" s="0" t="s">
        <v>408</v>
      </c>
      <c r="F199" s="0" t="n">
        <v>7</v>
      </c>
      <c r="G199" s="0" t="s">
        <v>553</v>
      </c>
      <c r="H199" s="0" t="s">
        <v>742</v>
      </c>
      <c r="I199" s="9" t="str">
        <f aca="false">VLOOKUP(B199,M:O,3,0)</f>
        <v>14:30</v>
      </c>
      <c r="J199" s="10" t="str">
        <f aca="false">VLOOKUP(B199,M:P,4,0)</f>
        <v>PONTOGLIO VIA LEOPARDI </v>
      </c>
    </row>
    <row r="200" customFormat="false" ht="12.5" hidden="false" customHeight="false" outlineLevel="0" collapsed="false">
      <c r="A200" s="12" t="n">
        <v>46102</v>
      </c>
      <c r="B200" s="0" t="s">
        <v>713</v>
      </c>
      <c r="C200" s="0" t="s">
        <v>709</v>
      </c>
      <c r="D200" s="0" t="s">
        <v>637</v>
      </c>
      <c r="E200" s="0" t="s">
        <v>408</v>
      </c>
      <c r="F200" s="0" t="n">
        <v>7</v>
      </c>
      <c r="G200" s="0" t="s">
        <v>553</v>
      </c>
      <c r="H200" s="0" t="s">
        <v>742</v>
      </c>
      <c r="I200" s="9" t="str">
        <f aca="false">VLOOKUP(B200,M:O,3,0)</f>
        <v>15:30</v>
      </c>
      <c r="J200" s="10" t="str">
        <f aca="false">VLOOKUP(B200,M:P,4,0)</f>
        <v>STEZZANO VIA BERGAMO 13</v>
      </c>
      <c r="M200" s="4"/>
      <c r="N200" s="4"/>
      <c r="O200" s="4"/>
      <c r="P200" s="4"/>
    </row>
    <row r="201" customFormat="false" ht="12.5" hidden="false" customHeight="false" outlineLevel="0" collapsed="false">
      <c r="A201" s="12" t="n">
        <v>46109</v>
      </c>
      <c r="B201" s="0" t="s">
        <v>711</v>
      </c>
      <c r="C201" s="0" t="s">
        <v>713</v>
      </c>
      <c r="D201" s="0" t="s">
        <v>637</v>
      </c>
      <c r="E201" s="0" t="s">
        <v>408</v>
      </c>
      <c r="F201" s="0" t="n">
        <v>8</v>
      </c>
      <c r="G201" s="0" t="s">
        <v>553</v>
      </c>
      <c r="H201" s="0" t="s">
        <v>742</v>
      </c>
      <c r="I201" s="9" t="str">
        <f aca="false">VLOOKUP(B201,M:O,3,0)</f>
        <v>15:30</v>
      </c>
      <c r="J201" s="10" t="str">
        <f aca="false">VLOOKUP(B201,M:P,4,0)</f>
        <v>PONTIROLO NUOVO VIA ARMANDO DIAZ 22 </v>
      </c>
      <c r="M201" s="4"/>
      <c r="N201" s="4"/>
      <c r="O201" s="4"/>
      <c r="P201" s="4"/>
    </row>
    <row r="202" customFormat="false" ht="12.5" hidden="false" customHeight="false" outlineLevel="0" collapsed="false">
      <c r="A202" s="12" t="n">
        <v>46109</v>
      </c>
      <c r="B202" s="0" t="s">
        <v>700</v>
      </c>
      <c r="C202" s="0" t="s">
        <v>709</v>
      </c>
      <c r="D202" s="0" t="s">
        <v>637</v>
      </c>
      <c r="E202" s="0" t="s">
        <v>408</v>
      </c>
      <c r="F202" s="0" t="n">
        <v>8</v>
      </c>
      <c r="G202" s="0" t="s">
        <v>553</v>
      </c>
      <c r="H202" s="0" t="s">
        <v>742</v>
      </c>
      <c r="I202" s="9" t="str">
        <f aca="false">VLOOKUP(B202,M:O,3,0)</f>
        <v>14:30</v>
      </c>
      <c r="J202" s="10" t="str">
        <f aca="false">VLOOKUP(B202,M:P,4,0)</f>
        <v>PONTOGLIO VIA LEOPARDI </v>
      </c>
      <c r="M202" s="4"/>
      <c r="N202" s="4"/>
      <c r="O202" s="4"/>
      <c r="P202" s="4"/>
    </row>
    <row r="203" customFormat="false" ht="12.5" hidden="false" customHeight="false" outlineLevel="0" collapsed="false">
      <c r="A203" s="12" t="n">
        <v>46109</v>
      </c>
      <c r="B203" s="0" t="s">
        <v>704</v>
      </c>
      <c r="C203" s="0" t="s">
        <v>702</v>
      </c>
      <c r="D203" s="0" t="s">
        <v>637</v>
      </c>
      <c r="E203" s="0" t="s">
        <v>408</v>
      </c>
      <c r="F203" s="0" t="n">
        <v>8</v>
      </c>
      <c r="G203" s="0" t="s">
        <v>553</v>
      </c>
      <c r="H203" s="0" t="s">
        <v>742</v>
      </c>
      <c r="I203" s="9" t="str">
        <f aca="false">VLOOKUP(B203,M:O,3,0)</f>
        <v>15:00</v>
      </c>
      <c r="J203" s="10" t="str">
        <f aca="false">VLOOKUP(B203,M:P,4,0)</f>
        <v>CALVENZANO VIA ROMA 10 </v>
      </c>
      <c r="M203" s="4"/>
      <c r="N203" s="4"/>
      <c r="O203" s="4"/>
      <c r="P203" s="4"/>
    </row>
    <row r="204" customFormat="false" ht="12.5" hidden="false" customHeight="false" outlineLevel="0" collapsed="false">
      <c r="A204" s="12" t="n">
        <v>46109</v>
      </c>
      <c r="B204" s="0" t="s">
        <v>706</v>
      </c>
      <c r="C204" s="0" t="s">
        <v>411</v>
      </c>
      <c r="D204" s="0" t="s">
        <v>637</v>
      </c>
      <c r="E204" s="0" t="s">
        <v>408</v>
      </c>
      <c r="F204" s="0" t="n">
        <v>8</v>
      </c>
      <c r="G204" s="0" t="s">
        <v>553</v>
      </c>
      <c r="H204" s="0" t="s">
        <v>742</v>
      </c>
      <c r="I204" s="9" t="str">
        <f aca="false">VLOOKUP(B204,M:O,3,0)</f>
        <v>14:30</v>
      </c>
      <c r="J204" s="10" t="str">
        <f aca="false">VLOOKUP(B204,M:P,4,0)</f>
        <v>TREVIGLIO VIA AI MALGARI 1 </v>
      </c>
      <c r="M204" s="4"/>
      <c r="N204" s="4"/>
      <c r="O204" s="4"/>
      <c r="P204" s="4"/>
    </row>
    <row r="205" customFormat="false" ht="12.5" hidden="false" customHeight="false" outlineLevel="0" collapsed="false">
      <c r="A205" s="12" t="n">
        <v>46123</v>
      </c>
      <c r="B205" s="0" t="s">
        <v>707</v>
      </c>
      <c r="C205" s="0" t="s">
        <v>704</v>
      </c>
      <c r="D205" s="0" t="s">
        <v>637</v>
      </c>
      <c r="E205" s="0" t="s">
        <v>408</v>
      </c>
      <c r="F205" s="0" t="n">
        <v>9</v>
      </c>
      <c r="G205" s="0" t="s">
        <v>553</v>
      </c>
      <c r="H205" s="0" t="s">
        <v>742</v>
      </c>
      <c r="I205" s="9" t="str">
        <f aca="false">VLOOKUP(B205,M:O,3,0)</f>
        <v>15:00</v>
      </c>
      <c r="J205" s="10" t="str">
        <f aca="false">VLOOKUP(B205,M:P,4,0)</f>
        <v>AZZANO SAN PAOLO VIA STEZZANO 33 </v>
      </c>
      <c r="M205" s="4"/>
      <c r="N205" s="4"/>
      <c r="O205" s="4"/>
      <c r="P205" s="4"/>
    </row>
    <row r="206" customFormat="false" ht="25" hidden="false" customHeight="false" outlineLevel="0" collapsed="false">
      <c r="A206" s="12" t="n">
        <v>46123</v>
      </c>
      <c r="B206" s="0" t="s">
        <v>702</v>
      </c>
      <c r="C206" s="0" t="s">
        <v>700</v>
      </c>
      <c r="D206" s="0" t="s">
        <v>637</v>
      </c>
      <c r="E206" s="0" t="s">
        <v>408</v>
      </c>
      <c r="F206" s="0" t="n">
        <v>9</v>
      </c>
      <c r="G206" s="0" t="s">
        <v>553</v>
      </c>
      <c r="H206" s="0" t="s">
        <v>742</v>
      </c>
      <c r="I206" s="9" t="str">
        <f aca="false">VLOOKUP(B206,M:O,3,0)</f>
        <v>14:30</v>
      </c>
      <c r="J206" s="10" t="str">
        <f aca="false">VLOOKUP(B206,M:P,4,0)</f>
        <v>FARA OLIVANA CON SOLA VIA VITTORIO EMANUELE SNC </v>
      </c>
      <c r="M206" s="4"/>
      <c r="N206" s="4"/>
      <c r="O206" s="4"/>
      <c r="P206" s="4"/>
    </row>
    <row r="207" customFormat="false" ht="12.5" hidden="false" customHeight="false" outlineLevel="0" collapsed="false">
      <c r="A207" s="12" t="n">
        <v>46123</v>
      </c>
      <c r="B207" s="0" t="s">
        <v>709</v>
      </c>
      <c r="C207" s="0" t="s">
        <v>711</v>
      </c>
      <c r="D207" s="0" t="s">
        <v>637</v>
      </c>
      <c r="E207" s="0" t="s">
        <v>408</v>
      </c>
      <c r="F207" s="0" t="n">
        <v>9</v>
      </c>
      <c r="G207" s="0" t="s">
        <v>553</v>
      </c>
      <c r="H207" s="0" t="s">
        <v>742</v>
      </c>
      <c r="I207" s="9" t="str">
        <f aca="false">VLOOKUP(B207,M:O,3,0)</f>
        <v>14:30</v>
      </c>
      <c r="J207" s="10" t="str">
        <f aca="false">VLOOKUP(B207,M:P,4,0)</f>
        <v>CORTENUOVA VIA GAETANO DONIZETTI </v>
      </c>
      <c r="M207" s="4"/>
      <c r="N207" s="4"/>
      <c r="O207" s="4"/>
      <c r="P207" s="4"/>
    </row>
    <row r="208" customFormat="false" ht="12.5" hidden="false" customHeight="false" outlineLevel="0" collapsed="false">
      <c r="A208" s="12" t="n">
        <v>46123</v>
      </c>
      <c r="B208" s="0" t="s">
        <v>713</v>
      </c>
      <c r="C208" s="0" t="s">
        <v>706</v>
      </c>
      <c r="D208" s="0" t="s">
        <v>637</v>
      </c>
      <c r="E208" s="0" t="s">
        <v>408</v>
      </c>
      <c r="F208" s="0" t="n">
        <v>9</v>
      </c>
      <c r="G208" s="0" t="s">
        <v>553</v>
      </c>
      <c r="H208" s="0" t="s">
        <v>742</v>
      </c>
      <c r="I208" s="9" t="str">
        <f aca="false">VLOOKUP(B208,M:O,3,0)</f>
        <v>15:30</v>
      </c>
      <c r="J208" s="10" t="str">
        <f aca="false">VLOOKUP(B208,M:P,4,0)</f>
        <v>STEZZANO VIA BERGAMO 13</v>
      </c>
      <c r="M208" s="4"/>
      <c r="N208" s="4"/>
      <c r="O208" s="4"/>
      <c r="P208" s="4"/>
    </row>
    <row r="209" s="4" customFormat="true" ht="12.5" hidden="false" customHeight="false" outlineLevel="0" collapsed="false">
      <c r="A209" s="12" t="n">
        <v>46060</v>
      </c>
      <c r="B209" s="4" t="s">
        <v>715</v>
      </c>
      <c r="C209" s="4" t="s">
        <v>321</v>
      </c>
      <c r="D209" s="4" t="s">
        <v>637</v>
      </c>
      <c r="E209" s="4" t="s">
        <v>578</v>
      </c>
      <c r="F209" s="4" t="n">
        <v>1</v>
      </c>
      <c r="G209" s="4" t="s">
        <v>553</v>
      </c>
      <c r="H209" s="4" t="s">
        <v>636</v>
      </c>
      <c r="I209" s="9" t="n">
        <f aca="false">VLOOKUP(B209,M:O,3,0)</f>
        <v>0.604166666666667</v>
      </c>
      <c r="J209" s="10" t="str">
        <f aca="false">VLOOKUP(B209,M:P,4,0)</f>
        <v>PEDRENGO VIA GIARDINI 12/A</v>
      </c>
    </row>
    <row r="210" s="4" customFormat="true" ht="12.5" hidden="false" customHeight="false" outlineLevel="0" collapsed="false">
      <c r="A210" s="12" t="n">
        <v>46060</v>
      </c>
      <c r="B210" s="4" t="s">
        <v>717</v>
      </c>
      <c r="C210" s="4" t="s">
        <v>598</v>
      </c>
      <c r="D210" s="4" t="s">
        <v>637</v>
      </c>
      <c r="E210" s="4" t="s">
        <v>578</v>
      </c>
      <c r="F210" s="4" t="n">
        <v>1</v>
      </c>
      <c r="G210" s="4" t="s">
        <v>553</v>
      </c>
      <c r="H210" s="4" t="s">
        <v>636</v>
      </c>
      <c r="I210" s="9" t="n">
        <f aca="false">VLOOKUP(B210,M:O,3,0)</f>
        <v>0.697916666666667</v>
      </c>
      <c r="J210" s="10" t="str">
        <f aca="false">VLOOKUP(B210,M:P,4,0)</f>
        <v>GORLAGO VIA BRUNO CORALI 1</v>
      </c>
    </row>
    <row r="211" s="4" customFormat="true" ht="12.5" hidden="false" customHeight="false" outlineLevel="0" collapsed="false">
      <c r="A211" s="12" t="n">
        <v>46060</v>
      </c>
      <c r="B211" s="4" t="s">
        <v>604</v>
      </c>
      <c r="C211" s="4" t="s">
        <v>325</v>
      </c>
      <c r="D211" s="4" t="s">
        <v>637</v>
      </c>
      <c r="E211" s="4" t="s">
        <v>578</v>
      </c>
      <c r="F211" s="4" t="n">
        <v>1</v>
      </c>
      <c r="G211" s="4" t="s">
        <v>553</v>
      </c>
      <c r="H211" s="4" t="s">
        <v>636</v>
      </c>
      <c r="I211" s="9" t="n">
        <f aca="false">VLOOKUP(B211,M:O,3,0)</f>
        <v>0.625</v>
      </c>
      <c r="J211" s="10" t="str">
        <f aca="false">VLOOKUP(B211,M:P,4,0)</f>
        <v>PONTERANICA VIA 8 MARZO 13</v>
      </c>
    </row>
    <row r="212" s="4" customFormat="true" ht="12.5" hidden="false" customHeight="false" outlineLevel="0" collapsed="false">
      <c r="A212" s="12" t="n">
        <v>46060</v>
      </c>
      <c r="B212" s="4" t="s">
        <v>308</v>
      </c>
      <c r="C212" s="4" t="s">
        <v>723</v>
      </c>
      <c r="D212" s="4" t="s">
        <v>637</v>
      </c>
      <c r="E212" s="4" t="s">
        <v>578</v>
      </c>
      <c r="F212" s="4" t="n">
        <v>1</v>
      </c>
      <c r="G212" s="4" t="s">
        <v>553</v>
      </c>
      <c r="H212" s="4" t="s">
        <v>636</v>
      </c>
      <c r="I212" s="9" t="n">
        <f aca="false">VLOOKUP(B212,M:O,3,0)</f>
        <v>0.604166666666667</v>
      </c>
      <c r="J212" s="10" t="str">
        <f aca="false">VLOOKUP(B212,M:P,4,0)</f>
        <v>ONORE VIA CORNI 376</v>
      </c>
    </row>
    <row r="213" s="4" customFormat="true" ht="12.5" hidden="false" customHeight="false" outlineLevel="0" collapsed="false">
      <c r="A213" s="12" t="n">
        <v>46067</v>
      </c>
      <c r="B213" s="4" t="s">
        <v>721</v>
      </c>
      <c r="C213" s="4" t="s">
        <v>717</v>
      </c>
      <c r="D213" s="4" t="s">
        <v>637</v>
      </c>
      <c r="E213" s="4" t="s">
        <v>578</v>
      </c>
      <c r="F213" s="4" t="n">
        <v>2</v>
      </c>
      <c r="G213" s="4" t="s">
        <v>553</v>
      </c>
      <c r="H213" s="4" t="s">
        <v>636</v>
      </c>
      <c r="I213" s="9" t="n">
        <f aca="false">VLOOKUP(B213,M:O,3,0)</f>
        <v>0.645833333333333</v>
      </c>
      <c r="J213" s="10" t="str">
        <f aca="false">VLOOKUP(B213,M:P,4,0)</f>
        <v>CASNIGO VIA EUROPA</v>
      </c>
    </row>
    <row r="214" s="4" customFormat="true" ht="12.5" hidden="false" customHeight="false" outlineLevel="0" collapsed="false">
      <c r="A214" s="12" t="n">
        <v>46067</v>
      </c>
      <c r="B214" s="4" t="s">
        <v>723</v>
      </c>
      <c r="C214" s="4" t="s">
        <v>604</v>
      </c>
      <c r="D214" s="4" t="s">
        <v>637</v>
      </c>
      <c r="E214" s="4" t="s">
        <v>578</v>
      </c>
      <c r="F214" s="4" t="n">
        <v>2</v>
      </c>
      <c r="G214" s="4" t="s">
        <v>553</v>
      </c>
      <c r="H214" s="4" t="s">
        <v>636</v>
      </c>
      <c r="I214" s="9" t="n">
        <f aca="false">VLOOKUP(B214,M:O,3,0)</f>
        <v>0.604166666666667</v>
      </c>
      <c r="J214" s="10" t="str">
        <f aca="false">VLOOKUP(B214,M:P,4,0)</f>
        <v>PARRE VIA ROMA 33</v>
      </c>
    </row>
    <row r="215" s="4" customFormat="true" ht="12.5" hidden="false" customHeight="false" outlineLevel="0" collapsed="false">
      <c r="A215" s="12" t="n">
        <v>46067</v>
      </c>
      <c r="B215" s="4" t="s">
        <v>598</v>
      </c>
      <c r="C215" s="4" t="s">
        <v>308</v>
      </c>
      <c r="D215" s="4" t="s">
        <v>637</v>
      </c>
      <c r="E215" s="4" t="s">
        <v>578</v>
      </c>
      <c r="F215" s="4" t="n">
        <v>2</v>
      </c>
      <c r="G215" s="4" t="s">
        <v>553</v>
      </c>
      <c r="H215" s="4" t="s">
        <v>636</v>
      </c>
      <c r="I215" s="9" t="n">
        <f aca="false">VLOOKUP(B215,M:O,3,0)</f>
        <v>0.604166666666667</v>
      </c>
      <c r="J215" s="10" t="str">
        <f aca="false">VLOOKUP(B215,M:P,4,0)</f>
        <v>LALLIO VIA EVARISTO BASCHENIS</v>
      </c>
    </row>
    <row r="216" s="4" customFormat="true" ht="12.5" hidden="false" customHeight="false" outlineLevel="0" collapsed="false">
      <c r="A216" s="12" t="n">
        <v>46067</v>
      </c>
      <c r="B216" s="4" t="s">
        <v>325</v>
      </c>
      <c r="C216" s="4" t="s">
        <v>715</v>
      </c>
      <c r="D216" s="4" t="s">
        <v>637</v>
      </c>
      <c r="E216" s="4" t="s">
        <v>578</v>
      </c>
      <c r="F216" s="4" t="n">
        <v>2</v>
      </c>
      <c r="G216" s="4" t="s">
        <v>553</v>
      </c>
      <c r="H216" s="4" t="s">
        <v>636</v>
      </c>
      <c r="I216" s="9" t="n">
        <f aca="false">VLOOKUP(B216,M:O,3,0)</f>
        <v>0.614583333333333</v>
      </c>
      <c r="J216" s="10" t="str">
        <f aca="false">VLOOKUP(B216,M:P,4,0)</f>
        <v>NEMBRO VIA NEMBRINI SNC</v>
      </c>
    </row>
    <row r="217" s="4" customFormat="true" ht="12.5" hidden="false" customHeight="false" outlineLevel="0" collapsed="false">
      <c r="A217" s="12" t="n">
        <v>46074</v>
      </c>
      <c r="B217" s="4" t="s">
        <v>715</v>
      </c>
      <c r="C217" s="4" t="s">
        <v>723</v>
      </c>
      <c r="D217" s="4" t="s">
        <v>637</v>
      </c>
      <c r="E217" s="4" t="s">
        <v>578</v>
      </c>
      <c r="F217" s="4" t="n">
        <v>3</v>
      </c>
      <c r="G217" s="4" t="s">
        <v>553</v>
      </c>
      <c r="H217" s="4" t="s">
        <v>636</v>
      </c>
      <c r="I217" s="9" t="n">
        <f aca="false">VLOOKUP(B217,M:O,3,0)</f>
        <v>0.604166666666667</v>
      </c>
      <c r="J217" s="10" t="str">
        <f aca="false">VLOOKUP(B217,M:P,4,0)</f>
        <v>PEDRENGO VIA GIARDINI 12/A</v>
      </c>
    </row>
    <row r="218" s="4" customFormat="true" ht="12.5" hidden="false" customHeight="false" outlineLevel="0" collapsed="false">
      <c r="A218" s="12" t="n">
        <v>46074</v>
      </c>
      <c r="B218" s="4" t="s">
        <v>325</v>
      </c>
      <c r="C218" s="4" t="s">
        <v>321</v>
      </c>
      <c r="D218" s="4" t="s">
        <v>637</v>
      </c>
      <c r="E218" s="4" t="s">
        <v>578</v>
      </c>
      <c r="F218" s="4" t="n">
        <v>3</v>
      </c>
      <c r="G218" s="4" t="s">
        <v>553</v>
      </c>
      <c r="H218" s="4" t="s">
        <v>636</v>
      </c>
      <c r="I218" s="9" t="n">
        <f aca="false">VLOOKUP(B218,M:O,3,0)</f>
        <v>0.614583333333333</v>
      </c>
      <c r="J218" s="10" t="str">
        <f aca="false">VLOOKUP(B218,M:P,4,0)</f>
        <v>NEMBRO VIA NEMBRINI SNC</v>
      </c>
    </row>
    <row r="219" s="4" customFormat="true" ht="12.5" hidden="false" customHeight="false" outlineLevel="0" collapsed="false">
      <c r="A219" s="12" t="n">
        <v>46074</v>
      </c>
      <c r="B219" s="4" t="s">
        <v>604</v>
      </c>
      <c r="C219" s="4" t="s">
        <v>598</v>
      </c>
      <c r="D219" s="4" t="s">
        <v>637</v>
      </c>
      <c r="E219" s="4" t="s">
        <v>578</v>
      </c>
      <c r="F219" s="4" t="n">
        <v>3</v>
      </c>
      <c r="G219" s="4" t="s">
        <v>553</v>
      </c>
      <c r="H219" s="4" t="s">
        <v>636</v>
      </c>
      <c r="I219" s="9" t="n">
        <f aca="false">VLOOKUP(B219,M:O,3,0)</f>
        <v>0.625</v>
      </c>
      <c r="J219" s="10" t="str">
        <f aca="false">VLOOKUP(B219,M:P,4,0)</f>
        <v>PONTERANICA VIA 8 MARZO 13</v>
      </c>
    </row>
    <row r="220" s="4" customFormat="true" ht="12.5" hidden="false" customHeight="false" outlineLevel="0" collapsed="false">
      <c r="A220" s="12" t="n">
        <v>46074</v>
      </c>
      <c r="B220" s="4" t="s">
        <v>308</v>
      </c>
      <c r="C220" s="4" t="s">
        <v>721</v>
      </c>
      <c r="D220" s="4" t="s">
        <v>637</v>
      </c>
      <c r="E220" s="4" t="s">
        <v>578</v>
      </c>
      <c r="F220" s="4" t="n">
        <v>3</v>
      </c>
      <c r="G220" s="4" t="s">
        <v>553</v>
      </c>
      <c r="H220" s="4" t="s">
        <v>636</v>
      </c>
      <c r="I220" s="9" t="n">
        <f aca="false">VLOOKUP(B220,M:O,3,0)</f>
        <v>0.604166666666667</v>
      </c>
      <c r="J220" s="10" t="str">
        <f aca="false">VLOOKUP(B220,M:P,4,0)</f>
        <v>ONORE VIA CORNI 376</v>
      </c>
    </row>
    <row r="221" s="4" customFormat="true" ht="12.5" hidden="false" customHeight="false" outlineLevel="0" collapsed="false">
      <c r="A221" s="12" t="n">
        <v>46081</v>
      </c>
      <c r="B221" s="4" t="s">
        <v>721</v>
      </c>
      <c r="C221" s="4" t="s">
        <v>604</v>
      </c>
      <c r="D221" s="4" t="s">
        <v>637</v>
      </c>
      <c r="E221" s="4" t="s">
        <v>578</v>
      </c>
      <c r="F221" s="4" t="n">
        <v>4</v>
      </c>
      <c r="G221" s="4" t="s">
        <v>553</v>
      </c>
      <c r="H221" s="4" t="s">
        <v>636</v>
      </c>
      <c r="I221" s="9" t="n">
        <f aca="false">VLOOKUP(B221,M:O,3,0)</f>
        <v>0.645833333333333</v>
      </c>
      <c r="J221" s="10" t="str">
        <f aca="false">VLOOKUP(B221,M:P,4,0)</f>
        <v>CASNIGO VIA EUROPA</v>
      </c>
    </row>
    <row r="222" s="4" customFormat="true" ht="12.5" hidden="false" customHeight="false" outlineLevel="0" collapsed="false">
      <c r="A222" s="12" t="n">
        <v>46081</v>
      </c>
      <c r="B222" s="4" t="s">
        <v>723</v>
      </c>
      <c r="C222" s="4" t="s">
        <v>325</v>
      </c>
      <c r="D222" s="4" t="s">
        <v>637</v>
      </c>
      <c r="E222" s="4" t="s">
        <v>578</v>
      </c>
      <c r="F222" s="4" t="n">
        <v>4</v>
      </c>
      <c r="G222" s="4" t="s">
        <v>553</v>
      </c>
      <c r="H222" s="4" t="s">
        <v>636</v>
      </c>
      <c r="I222" s="9" t="n">
        <f aca="false">VLOOKUP(B222,M:O,3,0)</f>
        <v>0.604166666666667</v>
      </c>
      <c r="J222" s="10" t="str">
        <f aca="false">VLOOKUP(B222,M:P,4,0)</f>
        <v>PARRE VIA ROMA 33</v>
      </c>
    </row>
    <row r="223" s="4" customFormat="true" ht="12.5" hidden="false" customHeight="false" outlineLevel="0" collapsed="false">
      <c r="A223" s="12" t="n">
        <v>46081</v>
      </c>
      <c r="B223" s="4" t="s">
        <v>321</v>
      </c>
      <c r="C223" s="4" t="s">
        <v>717</v>
      </c>
      <c r="D223" s="4" t="s">
        <v>637</v>
      </c>
      <c r="E223" s="4" t="s">
        <v>578</v>
      </c>
      <c r="F223" s="4" t="n">
        <v>4</v>
      </c>
      <c r="G223" s="4" t="s">
        <v>553</v>
      </c>
      <c r="H223" s="4" t="s">
        <v>636</v>
      </c>
      <c r="I223" s="9" t="n">
        <f aca="false">VLOOKUP(B223,M:O,3,0)</f>
        <v>0.6875</v>
      </c>
      <c r="J223" s="10" t="str">
        <f aca="false">VLOOKUP(B223,M:P,4,0)</f>
        <v>TORRE BOLDONE VIALE LOMBARDIA 44</v>
      </c>
    </row>
    <row r="224" s="4" customFormat="true" ht="12.5" hidden="false" customHeight="false" outlineLevel="0" collapsed="false">
      <c r="A224" s="12" t="n">
        <v>46081</v>
      </c>
      <c r="B224" s="4" t="s">
        <v>598</v>
      </c>
      <c r="C224" s="4" t="s">
        <v>715</v>
      </c>
      <c r="D224" s="4" t="s">
        <v>637</v>
      </c>
      <c r="E224" s="4" t="s">
        <v>578</v>
      </c>
      <c r="F224" s="4" t="n">
        <v>4</v>
      </c>
      <c r="G224" s="4" t="s">
        <v>553</v>
      </c>
      <c r="H224" s="4" t="s">
        <v>636</v>
      </c>
      <c r="I224" s="9" t="n">
        <f aca="false">VLOOKUP(B224,M:O,3,0)</f>
        <v>0.604166666666667</v>
      </c>
      <c r="J224" s="10" t="str">
        <f aca="false">VLOOKUP(B224,M:P,4,0)</f>
        <v>LALLIO VIA EVARISTO BASCHENIS</v>
      </c>
    </row>
    <row r="225" s="4" customFormat="true" ht="12.5" hidden="false" customHeight="false" outlineLevel="0" collapsed="false">
      <c r="A225" s="12" t="n">
        <v>46088</v>
      </c>
      <c r="B225" s="4" t="s">
        <v>715</v>
      </c>
      <c r="C225" s="4" t="s">
        <v>721</v>
      </c>
      <c r="D225" s="4" t="s">
        <v>637</v>
      </c>
      <c r="E225" s="4" t="s">
        <v>578</v>
      </c>
      <c r="F225" s="4" t="n">
        <v>5</v>
      </c>
      <c r="G225" s="4" t="s">
        <v>553</v>
      </c>
      <c r="H225" s="4" t="s">
        <v>636</v>
      </c>
      <c r="I225" s="9" t="n">
        <f aca="false">VLOOKUP(B225,M:O,3,0)</f>
        <v>0.604166666666667</v>
      </c>
      <c r="J225" s="10" t="str">
        <f aca="false">VLOOKUP(B225,M:P,4,0)</f>
        <v>PEDRENGO VIA GIARDINI 12/A</v>
      </c>
    </row>
    <row r="226" s="4" customFormat="true" ht="12.5" hidden="false" customHeight="false" outlineLevel="0" collapsed="false">
      <c r="A226" s="12" t="n">
        <v>46088</v>
      </c>
      <c r="B226" s="4" t="s">
        <v>723</v>
      </c>
      <c r="C226" s="4" t="s">
        <v>321</v>
      </c>
      <c r="D226" s="4" t="s">
        <v>637</v>
      </c>
      <c r="E226" s="4" t="s">
        <v>578</v>
      </c>
      <c r="F226" s="4" t="n">
        <v>5</v>
      </c>
      <c r="G226" s="4" t="s">
        <v>553</v>
      </c>
      <c r="H226" s="4" t="s">
        <v>636</v>
      </c>
      <c r="I226" s="9" t="n">
        <f aca="false">VLOOKUP(B226,M:O,3,0)</f>
        <v>0.604166666666667</v>
      </c>
      <c r="J226" s="10" t="str">
        <f aca="false">VLOOKUP(B226,M:P,4,0)</f>
        <v>PARRE VIA ROMA 33</v>
      </c>
    </row>
    <row r="227" s="4" customFormat="true" ht="12.5" hidden="false" customHeight="false" outlineLevel="0" collapsed="false">
      <c r="A227" s="12" t="n">
        <v>46088</v>
      </c>
      <c r="B227" s="4" t="s">
        <v>325</v>
      </c>
      <c r="C227" s="4" t="s">
        <v>598</v>
      </c>
      <c r="D227" s="4" t="s">
        <v>637</v>
      </c>
      <c r="E227" s="4" t="s">
        <v>578</v>
      </c>
      <c r="F227" s="4" t="n">
        <v>5</v>
      </c>
      <c r="G227" s="4" t="s">
        <v>553</v>
      </c>
      <c r="H227" s="4" t="s">
        <v>636</v>
      </c>
      <c r="I227" s="9" t="n">
        <f aca="false">VLOOKUP(B227,M:O,3,0)</f>
        <v>0.614583333333333</v>
      </c>
      <c r="J227" s="10" t="str">
        <f aca="false">VLOOKUP(B227,M:P,4,0)</f>
        <v>NEMBRO VIA NEMBRINI SNC</v>
      </c>
    </row>
    <row r="228" s="4" customFormat="true" ht="12.5" hidden="false" customHeight="false" outlineLevel="0" collapsed="false">
      <c r="A228" s="12" t="n">
        <v>46088</v>
      </c>
      <c r="B228" s="4" t="s">
        <v>308</v>
      </c>
      <c r="C228" s="4" t="s">
        <v>717</v>
      </c>
      <c r="D228" s="4" t="s">
        <v>637</v>
      </c>
      <c r="E228" s="4" t="s">
        <v>578</v>
      </c>
      <c r="F228" s="4" t="n">
        <v>5</v>
      </c>
      <c r="G228" s="4" t="s">
        <v>553</v>
      </c>
      <c r="H228" s="4" t="s">
        <v>315</v>
      </c>
      <c r="I228" s="9" t="n">
        <f aca="false">VLOOKUP(B228,M:O,3,0)</f>
        <v>0.604166666666667</v>
      </c>
      <c r="J228" s="10" t="str">
        <f aca="false">VLOOKUP(B228,M:P,4,0)</f>
        <v>ONORE VIA CORNI 376</v>
      </c>
    </row>
    <row r="229" s="4" customFormat="true" ht="12.5" hidden="false" customHeight="false" outlineLevel="0" collapsed="false">
      <c r="A229" s="12" t="n">
        <v>46095</v>
      </c>
      <c r="B229" s="4" t="s">
        <v>321</v>
      </c>
      <c r="C229" s="4" t="s">
        <v>308</v>
      </c>
      <c r="D229" s="4" t="s">
        <v>637</v>
      </c>
      <c r="E229" s="4" t="s">
        <v>578</v>
      </c>
      <c r="F229" s="4" t="n">
        <v>6</v>
      </c>
      <c r="G229" s="4" t="s">
        <v>553</v>
      </c>
      <c r="H229" s="4" t="s">
        <v>636</v>
      </c>
      <c r="I229" s="9" t="n">
        <f aca="false">VLOOKUP(B229,M:O,3,0)</f>
        <v>0.6875</v>
      </c>
      <c r="J229" s="10" t="str">
        <f aca="false">VLOOKUP(B229,M:P,4,0)</f>
        <v>TORRE BOLDONE VIALE LOMBARDIA 44</v>
      </c>
    </row>
    <row r="230" s="4" customFormat="true" ht="12.5" hidden="false" customHeight="false" outlineLevel="0" collapsed="false">
      <c r="A230" s="12" t="n">
        <v>46095</v>
      </c>
      <c r="B230" s="4" t="s">
        <v>717</v>
      </c>
      <c r="C230" s="4" t="s">
        <v>604</v>
      </c>
      <c r="D230" s="4" t="s">
        <v>637</v>
      </c>
      <c r="E230" s="4" t="s">
        <v>578</v>
      </c>
      <c r="F230" s="4" t="n">
        <v>6</v>
      </c>
      <c r="G230" s="4" t="s">
        <v>553</v>
      </c>
      <c r="H230" s="4" t="s">
        <v>636</v>
      </c>
      <c r="I230" s="9" t="n">
        <f aca="false">VLOOKUP(B230,M:O,3,0)</f>
        <v>0.697916666666667</v>
      </c>
      <c r="J230" s="10" t="str">
        <f aca="false">VLOOKUP(B230,M:P,4,0)</f>
        <v>GORLAGO VIA BRUNO CORALI 1</v>
      </c>
    </row>
    <row r="231" s="4" customFormat="true" ht="12.5" hidden="false" customHeight="false" outlineLevel="0" collapsed="false">
      <c r="A231" s="12" t="n">
        <v>46095</v>
      </c>
      <c r="B231" s="4" t="s">
        <v>721</v>
      </c>
      <c r="C231" s="4" t="s">
        <v>325</v>
      </c>
      <c r="D231" s="4" t="s">
        <v>637</v>
      </c>
      <c r="E231" s="4" t="s">
        <v>578</v>
      </c>
      <c r="F231" s="4" t="n">
        <v>6</v>
      </c>
      <c r="G231" s="4" t="s">
        <v>553</v>
      </c>
      <c r="H231" s="4" t="s">
        <v>636</v>
      </c>
      <c r="I231" s="9" t="n">
        <f aca="false">VLOOKUP(B231,M:O,3,0)</f>
        <v>0.645833333333333</v>
      </c>
      <c r="J231" s="10" t="str">
        <f aca="false">VLOOKUP(B231,M:P,4,0)</f>
        <v>CASNIGO VIA EUROPA</v>
      </c>
    </row>
    <row r="232" s="4" customFormat="true" ht="12.5" hidden="false" customHeight="false" outlineLevel="0" collapsed="false">
      <c r="A232" s="12" t="n">
        <v>46095</v>
      </c>
      <c r="B232" s="4" t="s">
        <v>598</v>
      </c>
      <c r="C232" s="4" t="s">
        <v>723</v>
      </c>
      <c r="D232" s="4" t="s">
        <v>637</v>
      </c>
      <c r="E232" s="4" t="s">
        <v>578</v>
      </c>
      <c r="F232" s="4" t="n">
        <v>6</v>
      </c>
      <c r="G232" s="4" t="s">
        <v>553</v>
      </c>
      <c r="H232" s="4" t="s">
        <v>636</v>
      </c>
      <c r="I232" s="9" t="n">
        <f aca="false">VLOOKUP(B232,M:O,3,0)</f>
        <v>0.604166666666667</v>
      </c>
      <c r="J232" s="10" t="str">
        <f aca="false">VLOOKUP(B232,M:P,4,0)</f>
        <v>LALLIO VIA EVARISTO BASCHENIS</v>
      </c>
    </row>
    <row r="233" s="4" customFormat="true" ht="12.5" hidden="false" customHeight="false" outlineLevel="0" collapsed="false">
      <c r="A233" s="12" t="n">
        <v>46102</v>
      </c>
      <c r="B233" s="4" t="s">
        <v>715</v>
      </c>
      <c r="C233" s="4" t="s">
        <v>717</v>
      </c>
      <c r="D233" s="4" t="s">
        <v>637</v>
      </c>
      <c r="E233" s="4" t="s">
        <v>578</v>
      </c>
      <c r="F233" s="4" t="n">
        <v>7</v>
      </c>
      <c r="G233" s="4" t="s">
        <v>553</v>
      </c>
      <c r="H233" s="4" t="s">
        <v>636</v>
      </c>
      <c r="I233" s="9" t="n">
        <f aca="false">VLOOKUP(B233,M:O,3,0)</f>
        <v>0.604166666666667</v>
      </c>
      <c r="J233" s="10" t="str">
        <f aca="false">VLOOKUP(B233,M:P,4,0)</f>
        <v>PEDRENGO VIA GIARDINI 12/A</v>
      </c>
    </row>
    <row r="234" s="4" customFormat="true" ht="12.5" hidden="false" customHeight="false" outlineLevel="0" collapsed="false">
      <c r="A234" s="12" t="n">
        <v>46102</v>
      </c>
      <c r="B234" s="4" t="s">
        <v>723</v>
      </c>
      <c r="C234" s="4" t="s">
        <v>721</v>
      </c>
      <c r="D234" s="4" t="s">
        <v>637</v>
      </c>
      <c r="E234" s="4" t="s">
        <v>578</v>
      </c>
      <c r="F234" s="4" t="n">
        <v>7</v>
      </c>
      <c r="G234" s="4" t="s">
        <v>553</v>
      </c>
      <c r="H234" s="4" t="s">
        <v>636</v>
      </c>
      <c r="I234" s="9" t="n">
        <f aca="false">VLOOKUP(B234,M:O,3,0)</f>
        <v>0.604166666666667</v>
      </c>
      <c r="J234" s="10" t="str">
        <f aca="false">VLOOKUP(B234,M:P,4,0)</f>
        <v>PARRE VIA ROMA 33</v>
      </c>
    </row>
    <row r="235" s="4" customFormat="true" ht="12.5" hidden="false" customHeight="false" outlineLevel="0" collapsed="false">
      <c r="A235" s="12" t="n">
        <v>46102</v>
      </c>
      <c r="B235" s="4" t="s">
        <v>598</v>
      </c>
      <c r="C235" s="4" t="s">
        <v>321</v>
      </c>
      <c r="D235" s="4" t="s">
        <v>637</v>
      </c>
      <c r="E235" s="4" t="s">
        <v>578</v>
      </c>
      <c r="F235" s="4" t="n">
        <v>7</v>
      </c>
      <c r="G235" s="4" t="s">
        <v>553</v>
      </c>
      <c r="H235" s="4" t="s">
        <v>636</v>
      </c>
      <c r="I235" s="9" t="n">
        <f aca="false">VLOOKUP(B235,M:O,3,0)</f>
        <v>0.604166666666667</v>
      </c>
      <c r="J235" s="10" t="str">
        <f aca="false">VLOOKUP(B235,M:P,4,0)</f>
        <v>LALLIO VIA EVARISTO BASCHENIS</v>
      </c>
    </row>
    <row r="236" s="4" customFormat="true" ht="12.5" hidden="false" customHeight="false" outlineLevel="0" collapsed="false">
      <c r="A236" s="12" t="n">
        <v>46102</v>
      </c>
      <c r="B236" s="4" t="s">
        <v>604</v>
      </c>
      <c r="C236" s="4" t="s">
        <v>308</v>
      </c>
      <c r="D236" s="4" t="s">
        <v>637</v>
      </c>
      <c r="E236" s="4" t="s">
        <v>578</v>
      </c>
      <c r="F236" s="4" t="n">
        <v>7</v>
      </c>
      <c r="G236" s="4" t="s">
        <v>553</v>
      </c>
      <c r="H236" s="4" t="s">
        <v>636</v>
      </c>
      <c r="I236" s="9" t="n">
        <f aca="false">VLOOKUP(B236,M:O,3,0)</f>
        <v>0.625</v>
      </c>
      <c r="J236" s="10" t="str">
        <f aca="false">VLOOKUP(B236,M:P,4,0)</f>
        <v>PONTERANICA VIA 8 MARZO 13</v>
      </c>
    </row>
    <row r="237" s="4" customFormat="true" ht="12.5" hidden="false" customHeight="false" outlineLevel="0" collapsed="false">
      <c r="A237" s="12" t="n">
        <v>46109</v>
      </c>
      <c r="B237" s="4" t="s">
        <v>717</v>
      </c>
      <c r="C237" s="4" t="s">
        <v>325</v>
      </c>
      <c r="D237" s="4" t="s">
        <v>637</v>
      </c>
      <c r="E237" s="4" t="s">
        <v>578</v>
      </c>
      <c r="F237" s="4" t="n">
        <v>8</v>
      </c>
      <c r="G237" s="4" t="s">
        <v>553</v>
      </c>
      <c r="H237" s="4" t="s">
        <v>636</v>
      </c>
      <c r="I237" s="9" t="n">
        <f aca="false">VLOOKUP(B237,M:O,3,0)</f>
        <v>0.697916666666667</v>
      </c>
      <c r="J237" s="10" t="str">
        <f aca="false">VLOOKUP(B237,M:P,4,0)</f>
        <v>GORLAGO VIA BRUNO CORALI 1</v>
      </c>
    </row>
    <row r="238" s="4" customFormat="true" ht="12.5" hidden="false" customHeight="false" outlineLevel="0" collapsed="false">
      <c r="A238" s="12" t="n">
        <v>46109</v>
      </c>
      <c r="B238" s="4" t="s">
        <v>721</v>
      </c>
      <c r="C238" s="4" t="s">
        <v>598</v>
      </c>
      <c r="D238" s="4" t="s">
        <v>637</v>
      </c>
      <c r="E238" s="4" t="s">
        <v>578</v>
      </c>
      <c r="F238" s="4" t="n">
        <v>8</v>
      </c>
      <c r="G238" s="4" t="s">
        <v>553</v>
      </c>
      <c r="H238" s="4" t="s">
        <v>636</v>
      </c>
      <c r="I238" s="9" t="n">
        <f aca="false">VLOOKUP(B238,M:O,3,0)</f>
        <v>0.645833333333333</v>
      </c>
      <c r="J238" s="10" t="str">
        <f aca="false">VLOOKUP(B238,M:P,4,0)</f>
        <v>CASNIGO VIA EUROPA</v>
      </c>
    </row>
    <row r="239" s="4" customFormat="true" ht="12.5" hidden="false" customHeight="false" outlineLevel="0" collapsed="false">
      <c r="A239" s="12" t="n">
        <v>46109</v>
      </c>
      <c r="B239" s="4" t="s">
        <v>604</v>
      </c>
      <c r="C239" s="4" t="s">
        <v>321</v>
      </c>
      <c r="D239" s="4" t="s">
        <v>637</v>
      </c>
      <c r="E239" s="4" t="s">
        <v>578</v>
      </c>
      <c r="F239" s="4" t="n">
        <v>8</v>
      </c>
      <c r="G239" s="4" t="s">
        <v>553</v>
      </c>
      <c r="H239" s="4" t="s">
        <v>636</v>
      </c>
      <c r="I239" s="9" t="n">
        <f aca="false">VLOOKUP(B239,M:O,3,0)</f>
        <v>0.625</v>
      </c>
      <c r="J239" s="10" t="str">
        <f aca="false">VLOOKUP(B239,M:P,4,0)</f>
        <v>PONTERANICA VIA 8 MARZO 13</v>
      </c>
    </row>
    <row r="240" s="4" customFormat="true" ht="12.5" hidden="false" customHeight="false" outlineLevel="0" collapsed="false">
      <c r="A240" s="12" t="n">
        <v>46109</v>
      </c>
      <c r="B240" s="4" t="s">
        <v>308</v>
      </c>
      <c r="C240" s="4" t="s">
        <v>715</v>
      </c>
      <c r="D240" s="4" t="s">
        <v>637</v>
      </c>
      <c r="E240" s="4" t="s">
        <v>578</v>
      </c>
      <c r="F240" s="4" t="n">
        <v>8</v>
      </c>
      <c r="G240" s="4" t="s">
        <v>553</v>
      </c>
      <c r="H240" s="4" t="s">
        <v>636</v>
      </c>
      <c r="I240" s="9" t="n">
        <f aca="false">VLOOKUP(B240,M:O,3,0)</f>
        <v>0.604166666666667</v>
      </c>
      <c r="J240" s="10" t="str">
        <f aca="false">VLOOKUP(B240,M:P,4,0)</f>
        <v>ONORE VIA CORNI 376</v>
      </c>
    </row>
    <row r="241" s="4" customFormat="true" ht="12.5" hidden="false" customHeight="false" outlineLevel="0" collapsed="false">
      <c r="A241" s="12" t="n">
        <v>46123</v>
      </c>
      <c r="B241" s="4" t="s">
        <v>715</v>
      </c>
      <c r="C241" s="4" t="s">
        <v>604</v>
      </c>
      <c r="D241" s="4" t="s">
        <v>637</v>
      </c>
      <c r="E241" s="4" t="s">
        <v>578</v>
      </c>
      <c r="F241" s="4" t="n">
        <v>9</v>
      </c>
      <c r="G241" s="4" t="s">
        <v>553</v>
      </c>
      <c r="H241" s="4" t="s">
        <v>636</v>
      </c>
      <c r="I241" s="9" t="n">
        <f aca="false">VLOOKUP(B241,M:O,3,0)</f>
        <v>0.604166666666667</v>
      </c>
      <c r="J241" s="10" t="str">
        <f aca="false">VLOOKUP(B241,M:P,4,0)</f>
        <v>PEDRENGO VIA GIARDINI 12/A</v>
      </c>
    </row>
    <row r="242" s="4" customFormat="true" ht="12.5" hidden="false" customHeight="false" outlineLevel="0" collapsed="false">
      <c r="A242" s="12" t="n">
        <v>46123</v>
      </c>
      <c r="B242" s="4" t="s">
        <v>723</v>
      </c>
      <c r="C242" s="4" t="s">
        <v>717</v>
      </c>
      <c r="D242" s="4" t="s">
        <v>637</v>
      </c>
      <c r="E242" s="4" t="s">
        <v>578</v>
      </c>
      <c r="F242" s="4" t="n">
        <v>9</v>
      </c>
      <c r="G242" s="4" t="s">
        <v>553</v>
      </c>
      <c r="H242" s="4" t="s">
        <v>636</v>
      </c>
      <c r="I242" s="9" t="n">
        <f aca="false">VLOOKUP(B242,M:O,3,0)</f>
        <v>0.604166666666667</v>
      </c>
      <c r="J242" s="10" t="str">
        <f aca="false">VLOOKUP(B242,M:P,4,0)</f>
        <v>PARRE VIA ROMA 33</v>
      </c>
    </row>
    <row r="243" s="4" customFormat="true" ht="12.5" hidden="false" customHeight="false" outlineLevel="0" collapsed="false">
      <c r="A243" s="12" t="n">
        <v>46123</v>
      </c>
      <c r="B243" s="4" t="s">
        <v>321</v>
      </c>
      <c r="C243" s="4" t="s">
        <v>721</v>
      </c>
      <c r="D243" s="4" t="s">
        <v>637</v>
      </c>
      <c r="E243" s="4" t="s">
        <v>578</v>
      </c>
      <c r="F243" s="4" t="n">
        <v>9</v>
      </c>
      <c r="G243" s="4" t="s">
        <v>553</v>
      </c>
      <c r="H243" s="4" t="s">
        <v>636</v>
      </c>
      <c r="I243" s="9" t="n">
        <f aca="false">VLOOKUP(B243,M:O,3,0)</f>
        <v>0.6875</v>
      </c>
      <c r="J243" s="10" t="str">
        <f aca="false">VLOOKUP(B243,M:P,4,0)</f>
        <v>TORRE BOLDONE VIALE LOMBARDIA 44</v>
      </c>
    </row>
    <row r="244" s="4" customFormat="true" ht="12.5" hidden="false" customHeight="false" outlineLevel="0" collapsed="false">
      <c r="A244" s="12" t="n">
        <v>46123</v>
      </c>
      <c r="B244" s="4" t="s">
        <v>325</v>
      </c>
      <c r="C244" s="4" t="s">
        <v>308</v>
      </c>
      <c r="D244" s="4" t="s">
        <v>637</v>
      </c>
      <c r="E244" s="4" t="s">
        <v>578</v>
      </c>
      <c r="F244" s="4" t="n">
        <v>9</v>
      </c>
      <c r="G244" s="4" t="s">
        <v>553</v>
      </c>
      <c r="H244" s="4" t="s">
        <v>315</v>
      </c>
      <c r="I244" s="9" t="n">
        <f aca="false">VLOOKUP(B244,M:O,3,0)</f>
        <v>0.614583333333333</v>
      </c>
      <c r="J244" s="10" t="str">
        <f aca="false">VLOOKUP(B244,M:P,4,0)</f>
        <v>NEMBRO VIA NEMBRINI SNC</v>
      </c>
    </row>
    <row r="245" customFormat="false" ht="12.5" hidden="false" customHeight="false" outlineLevel="0" collapsed="false">
      <c r="A245" s="12" t="n">
        <v>46060</v>
      </c>
      <c r="B245" s="0" t="s">
        <v>390</v>
      </c>
      <c r="C245" s="0" t="s">
        <v>395</v>
      </c>
      <c r="D245" s="4" t="s">
        <v>637</v>
      </c>
      <c r="E245" s="0" t="s">
        <v>69</v>
      </c>
      <c r="F245" s="0" t="n">
        <v>1</v>
      </c>
      <c r="G245" s="4" t="s">
        <v>553</v>
      </c>
      <c r="H245" s="0" t="s">
        <v>742</v>
      </c>
      <c r="I245" s="9" t="n">
        <f aca="false">VLOOKUP(B245,M:O,3,0)</f>
        <v>0.625</v>
      </c>
      <c r="J245" s="10" t="str">
        <f aca="false">VLOOKUP(B245,M:P,4,0)</f>
        <v>ALME' VIA OLIMPIA 8</v>
      </c>
    </row>
    <row r="246" customFormat="false" ht="12.5" hidden="false" customHeight="false" outlineLevel="0" collapsed="false">
      <c r="A246" s="12" t="n">
        <v>46060</v>
      </c>
      <c r="B246" s="0" t="s">
        <v>350</v>
      </c>
      <c r="C246" s="0" t="s">
        <v>393</v>
      </c>
      <c r="D246" s="4" t="s">
        <v>637</v>
      </c>
      <c r="E246" s="0" t="s">
        <v>69</v>
      </c>
      <c r="F246" s="0" t="n">
        <v>1</v>
      </c>
      <c r="G246" s="4" t="s">
        <v>553</v>
      </c>
      <c r="H246" s="0" t="s">
        <v>742</v>
      </c>
      <c r="I246" s="9" t="n">
        <f aca="false">VLOOKUP(B246,M:O,3,0)</f>
        <v>0.583333333333333</v>
      </c>
      <c r="J246" s="10" t="str">
        <f aca="false">VLOOKUP(B246,M:P,4,0)</f>
        <v>SERIATE VIA DECO' E CANETTA 66</v>
      </c>
    </row>
    <row r="247" customFormat="false" ht="12.5" hidden="false" customHeight="false" outlineLevel="0" collapsed="false">
      <c r="A247" s="12" t="n">
        <v>46060</v>
      </c>
      <c r="B247" s="0" t="s">
        <v>730</v>
      </c>
      <c r="C247" s="0" t="s">
        <v>733</v>
      </c>
      <c r="D247" s="4" t="s">
        <v>637</v>
      </c>
      <c r="E247" s="0" t="s">
        <v>69</v>
      </c>
      <c r="F247" s="0" t="n">
        <v>1</v>
      </c>
      <c r="G247" s="4" t="s">
        <v>553</v>
      </c>
      <c r="H247" s="0" t="s">
        <v>742</v>
      </c>
      <c r="I247" s="9" t="n">
        <f aca="false">VLOOKUP(B247,M:O,3,0)</f>
        <v>0.625</v>
      </c>
      <c r="J247" s="10" t="str">
        <f aca="false">VLOOKUP(B247,M:P,4,0)</f>
        <v>SOVERE VIA CANNETO 4</v>
      </c>
    </row>
    <row r="248" customFormat="false" ht="12.5" hidden="false" customHeight="false" outlineLevel="0" collapsed="false">
      <c r="A248" s="12" t="n">
        <v>46060</v>
      </c>
      <c r="B248" s="0" t="s">
        <v>519</v>
      </c>
      <c r="C248" s="0" t="s">
        <v>734</v>
      </c>
      <c r="D248" s="4" t="s">
        <v>637</v>
      </c>
      <c r="E248" s="0" t="s">
        <v>69</v>
      </c>
      <c r="F248" s="0" t="n">
        <v>1</v>
      </c>
      <c r="G248" s="4" t="s">
        <v>553</v>
      </c>
      <c r="H248" s="0" t="s">
        <v>742</v>
      </c>
      <c r="I248" s="9" t="n">
        <f aca="false">VLOOKUP(B248,M:O,3,0)</f>
        <v>0.604166666666667</v>
      </c>
      <c r="J248" s="10" t="str">
        <f aca="false">VLOOKUP(B248,M:P,4,0)</f>
        <v>RANICA PIAZZA L. BERTETT SNC</v>
      </c>
    </row>
    <row r="249" customFormat="false" ht="12.5" hidden="false" customHeight="false" outlineLevel="0" collapsed="false">
      <c r="A249" s="12" t="n">
        <v>46067</v>
      </c>
      <c r="B249" s="0" t="s">
        <v>733</v>
      </c>
      <c r="C249" s="0" t="s">
        <v>350</v>
      </c>
      <c r="D249" s="4" t="s">
        <v>637</v>
      </c>
      <c r="E249" s="0" t="s">
        <v>69</v>
      </c>
      <c r="F249" s="0" t="n">
        <v>2</v>
      </c>
      <c r="G249" s="4" t="s">
        <v>553</v>
      </c>
      <c r="H249" s="0" t="s">
        <v>742</v>
      </c>
      <c r="I249" s="9" t="n">
        <f aca="false">VLOOKUP(B249,M:O,3,0)</f>
        <v>0.604166666666667</v>
      </c>
      <c r="J249" s="10" t="str">
        <f aca="false">VLOOKUP(B249,M:P,4,0)</f>
        <v>CASNIGO VIA EUROPA</v>
      </c>
    </row>
    <row r="250" customFormat="false" ht="12.5" hidden="false" customHeight="false" outlineLevel="0" collapsed="false">
      <c r="A250" s="12" t="n">
        <v>46067</v>
      </c>
      <c r="B250" s="0" t="s">
        <v>734</v>
      </c>
      <c r="C250" s="0" t="s">
        <v>730</v>
      </c>
      <c r="D250" s="4" t="s">
        <v>637</v>
      </c>
      <c r="E250" s="0" t="s">
        <v>69</v>
      </c>
      <c r="F250" s="0" t="n">
        <v>2</v>
      </c>
      <c r="G250" s="4" t="s">
        <v>553</v>
      </c>
      <c r="H250" s="0" t="s">
        <v>742</v>
      </c>
      <c r="I250" s="9" t="n">
        <f aca="false">VLOOKUP(B250,M:O,3,0)</f>
        <v>0.604166666666667</v>
      </c>
      <c r="J250" s="10" t="str">
        <f aca="false">VLOOKUP(B250,M:P,4,0)</f>
        <v>CASNIGO VIA EUROPA</v>
      </c>
    </row>
    <row r="251" customFormat="false" ht="12.5" hidden="false" customHeight="false" outlineLevel="0" collapsed="false">
      <c r="A251" s="12" t="n">
        <v>46067</v>
      </c>
      <c r="B251" s="0" t="s">
        <v>735</v>
      </c>
      <c r="C251" s="0" t="s">
        <v>390</v>
      </c>
      <c r="D251" s="4" t="s">
        <v>637</v>
      </c>
      <c r="E251" s="0" t="s">
        <v>69</v>
      </c>
      <c r="F251" s="0" t="n">
        <v>2</v>
      </c>
      <c r="G251" s="4" t="s">
        <v>553</v>
      </c>
      <c r="H251" s="0" t="s">
        <v>742</v>
      </c>
      <c r="I251" s="9" t="n">
        <f aca="false">VLOOKUP(B251,M:O,3,0)</f>
        <v>0.625</v>
      </c>
      <c r="J251" s="10" t="str">
        <f aca="false">VLOOKUP(B251,M:P,4,0)</f>
        <v>MONTELLO VIA L.ARIOSTO</v>
      </c>
    </row>
    <row r="252" customFormat="false" ht="12.5" hidden="false" customHeight="false" outlineLevel="0" collapsed="false">
      <c r="A252" s="12" t="n">
        <v>46067</v>
      </c>
      <c r="B252" s="0" t="s">
        <v>395</v>
      </c>
      <c r="C252" s="0" t="s">
        <v>519</v>
      </c>
      <c r="D252" s="4" t="s">
        <v>637</v>
      </c>
      <c r="E252" s="0" t="s">
        <v>69</v>
      </c>
      <c r="F252" s="0" t="n">
        <v>2</v>
      </c>
      <c r="G252" s="4" t="s">
        <v>553</v>
      </c>
      <c r="H252" s="0" t="s">
        <v>742</v>
      </c>
      <c r="I252" s="9" t="n">
        <f aca="false">VLOOKUP(B252,M:O,3,0)</f>
        <v>0.604166666666667</v>
      </c>
      <c r="J252" s="10" t="str">
        <f aca="false">VLOOKUP(B252,M:P,4,0)</f>
        <v>ZOGNO VIA CAMANCHE SNC - CAMANGHE</v>
      </c>
    </row>
    <row r="253" customFormat="false" ht="12.5" hidden="false" customHeight="false" outlineLevel="0" collapsed="false">
      <c r="A253" s="12" t="n">
        <v>46074</v>
      </c>
      <c r="B253" s="0" t="s">
        <v>390</v>
      </c>
      <c r="C253" s="0" t="s">
        <v>393</v>
      </c>
      <c r="D253" s="4" t="s">
        <v>637</v>
      </c>
      <c r="E253" s="0" t="s">
        <v>69</v>
      </c>
      <c r="F253" s="0" t="n">
        <v>3</v>
      </c>
      <c r="G253" s="4" t="s">
        <v>553</v>
      </c>
      <c r="H253" s="0" t="s">
        <v>742</v>
      </c>
      <c r="I253" s="9" t="n">
        <f aca="false">VLOOKUP(B253,M:O,3,0)</f>
        <v>0.625</v>
      </c>
      <c r="J253" s="10" t="str">
        <f aca="false">VLOOKUP(B253,M:P,4,0)</f>
        <v>ALME' VIA OLIMPIA 8</v>
      </c>
    </row>
    <row r="254" customFormat="false" ht="12.5" hidden="false" customHeight="false" outlineLevel="0" collapsed="false">
      <c r="A254" s="12" t="n">
        <v>46074</v>
      </c>
      <c r="B254" s="0" t="s">
        <v>350</v>
      </c>
      <c r="C254" s="0" t="s">
        <v>734</v>
      </c>
      <c r="D254" s="4" t="s">
        <v>637</v>
      </c>
      <c r="E254" s="0" t="s">
        <v>69</v>
      </c>
      <c r="F254" s="0" t="n">
        <v>3</v>
      </c>
      <c r="G254" s="4" t="s">
        <v>553</v>
      </c>
      <c r="H254" s="0" t="s">
        <v>742</v>
      </c>
      <c r="I254" s="9" t="n">
        <f aca="false">VLOOKUP(B254,M:O,3,0)</f>
        <v>0.583333333333333</v>
      </c>
      <c r="J254" s="10" t="str">
        <f aca="false">VLOOKUP(B254,M:P,4,0)</f>
        <v>SERIATE VIA DECO' E CANETTA 66</v>
      </c>
    </row>
    <row r="255" customFormat="false" ht="12.5" hidden="false" customHeight="false" outlineLevel="0" collapsed="false">
      <c r="A255" s="12" t="n">
        <v>46074</v>
      </c>
      <c r="B255" s="0" t="s">
        <v>735</v>
      </c>
      <c r="C255" s="0" t="s">
        <v>395</v>
      </c>
      <c r="D255" s="4" t="s">
        <v>637</v>
      </c>
      <c r="E255" s="0" t="s">
        <v>69</v>
      </c>
      <c r="F255" s="0" t="n">
        <v>3</v>
      </c>
      <c r="G255" s="4" t="s">
        <v>553</v>
      </c>
      <c r="H255" s="0" t="s">
        <v>742</v>
      </c>
      <c r="I255" s="9" t="n">
        <f aca="false">VLOOKUP(B255,M:O,3,0)</f>
        <v>0.625</v>
      </c>
      <c r="J255" s="10" t="str">
        <f aca="false">VLOOKUP(B255,M:P,4,0)</f>
        <v>MONTELLO VIA L.ARIOSTO</v>
      </c>
    </row>
    <row r="256" customFormat="false" ht="12.5" hidden="false" customHeight="false" outlineLevel="0" collapsed="false">
      <c r="A256" s="12" t="n">
        <v>46074</v>
      </c>
      <c r="B256" s="0" t="s">
        <v>730</v>
      </c>
      <c r="C256" s="0" t="s">
        <v>519</v>
      </c>
      <c r="D256" s="4" t="s">
        <v>637</v>
      </c>
      <c r="E256" s="0" t="s">
        <v>69</v>
      </c>
      <c r="F256" s="0" t="n">
        <v>3</v>
      </c>
      <c r="G256" s="4" t="s">
        <v>553</v>
      </c>
      <c r="H256" s="0" t="s">
        <v>742</v>
      </c>
      <c r="I256" s="9" t="n">
        <f aca="false">VLOOKUP(B256,M:O,3,0)</f>
        <v>0.625</v>
      </c>
      <c r="J256" s="10" t="str">
        <f aca="false">VLOOKUP(B256,M:P,4,0)</f>
        <v>SOVERE VIA CANNETO 4</v>
      </c>
    </row>
    <row r="257" customFormat="false" ht="12.5" hidden="false" customHeight="false" outlineLevel="0" collapsed="false">
      <c r="A257" s="12" t="n">
        <v>46081</v>
      </c>
      <c r="B257" s="0" t="s">
        <v>733</v>
      </c>
      <c r="C257" s="0" t="s">
        <v>390</v>
      </c>
      <c r="D257" s="4" t="s">
        <v>637</v>
      </c>
      <c r="E257" s="0" t="s">
        <v>69</v>
      </c>
      <c r="F257" s="0" t="n">
        <v>4</v>
      </c>
      <c r="G257" s="4" t="s">
        <v>553</v>
      </c>
      <c r="H257" s="0" t="s">
        <v>742</v>
      </c>
      <c r="I257" s="9" t="n">
        <f aca="false">VLOOKUP(B257,M:O,3,0)</f>
        <v>0.604166666666667</v>
      </c>
      <c r="J257" s="10" t="str">
        <f aca="false">VLOOKUP(B257,M:P,4,0)</f>
        <v>CASNIGO VIA EUROPA</v>
      </c>
    </row>
    <row r="258" customFormat="false" ht="12.5" hidden="false" customHeight="false" outlineLevel="0" collapsed="false">
      <c r="A258" s="12" t="n">
        <v>46081</v>
      </c>
      <c r="B258" s="0" t="s">
        <v>519</v>
      </c>
      <c r="C258" s="0" t="s">
        <v>350</v>
      </c>
      <c r="D258" s="4" t="s">
        <v>637</v>
      </c>
      <c r="E258" s="0" t="s">
        <v>69</v>
      </c>
      <c r="F258" s="0" t="n">
        <v>4</v>
      </c>
      <c r="G258" s="4" t="s">
        <v>553</v>
      </c>
      <c r="H258" s="0" t="s">
        <v>742</v>
      </c>
      <c r="I258" s="9" t="n">
        <f aca="false">VLOOKUP(B258,M:O,3,0)</f>
        <v>0.604166666666667</v>
      </c>
      <c r="J258" s="10" t="str">
        <f aca="false">VLOOKUP(B258,M:P,4,0)</f>
        <v>RANICA PIAZZA L. BERTETT SNC</v>
      </c>
    </row>
    <row r="259" customFormat="false" ht="12.5" hidden="false" customHeight="false" outlineLevel="0" collapsed="false">
      <c r="A259" s="12" t="n">
        <v>46081</v>
      </c>
      <c r="B259" s="0" t="s">
        <v>393</v>
      </c>
      <c r="C259" s="0" t="s">
        <v>735</v>
      </c>
      <c r="D259" s="4" t="s">
        <v>637</v>
      </c>
      <c r="E259" s="0" t="s">
        <v>69</v>
      </c>
      <c r="F259" s="0" t="n">
        <v>4</v>
      </c>
      <c r="G259" s="4" t="s">
        <v>553</v>
      </c>
      <c r="H259" s="0" t="s">
        <v>742</v>
      </c>
      <c r="I259" s="9" t="n">
        <f aca="false">VLOOKUP(B259,M:O,3,0)</f>
        <v>0.604166666666667</v>
      </c>
      <c r="J259" s="10" t="str">
        <f aca="false">VLOOKUP(B259,M:P,4,0)</f>
        <v>SAN PELLEGRINO TERME VIA B.BELOTTI 2</v>
      </c>
    </row>
    <row r="260" customFormat="false" ht="12.5" hidden="false" customHeight="false" outlineLevel="0" collapsed="false">
      <c r="A260" s="12" t="n">
        <v>46081</v>
      </c>
      <c r="B260" s="0" t="s">
        <v>395</v>
      </c>
      <c r="C260" s="0" t="s">
        <v>730</v>
      </c>
      <c r="D260" s="4" t="s">
        <v>637</v>
      </c>
      <c r="E260" s="0" t="s">
        <v>69</v>
      </c>
      <c r="F260" s="0" t="n">
        <v>4</v>
      </c>
      <c r="G260" s="4" t="s">
        <v>553</v>
      </c>
      <c r="H260" s="0" t="s">
        <v>742</v>
      </c>
      <c r="I260" s="9" t="n">
        <f aca="false">VLOOKUP(B260,M:O,3,0)</f>
        <v>0.604166666666667</v>
      </c>
      <c r="J260" s="10" t="str">
        <f aca="false">VLOOKUP(B260,M:P,4,0)</f>
        <v>ZOGNO VIA CAMANCHE SNC - CAMANGHE</v>
      </c>
    </row>
    <row r="261" customFormat="false" ht="12.5" hidden="false" customHeight="false" outlineLevel="0" collapsed="false">
      <c r="A261" s="12" t="n">
        <v>46088</v>
      </c>
      <c r="B261" s="0" t="s">
        <v>390</v>
      </c>
      <c r="C261" s="0" t="s">
        <v>734</v>
      </c>
      <c r="D261" s="4" t="s">
        <v>637</v>
      </c>
      <c r="E261" s="0" t="s">
        <v>69</v>
      </c>
      <c r="F261" s="0" t="n">
        <v>5</v>
      </c>
      <c r="G261" s="4" t="s">
        <v>553</v>
      </c>
      <c r="H261" s="0" t="s">
        <v>742</v>
      </c>
      <c r="I261" s="9" t="n">
        <f aca="false">VLOOKUP(B261,M:O,3,0)</f>
        <v>0.625</v>
      </c>
      <c r="J261" s="10" t="str">
        <f aca="false">VLOOKUP(B261,M:P,4,0)</f>
        <v>ALME' VIA OLIMPIA 8</v>
      </c>
    </row>
    <row r="262" customFormat="false" ht="12.5" hidden="false" customHeight="false" outlineLevel="0" collapsed="false">
      <c r="A262" s="12" t="n">
        <v>46088</v>
      </c>
      <c r="B262" s="0" t="s">
        <v>350</v>
      </c>
      <c r="C262" s="0" t="s">
        <v>730</v>
      </c>
      <c r="D262" s="4" t="s">
        <v>637</v>
      </c>
      <c r="E262" s="0" t="s">
        <v>69</v>
      </c>
      <c r="F262" s="0" t="n">
        <v>5</v>
      </c>
      <c r="G262" s="4" t="s">
        <v>553</v>
      </c>
      <c r="H262" s="0" t="s">
        <v>742</v>
      </c>
      <c r="I262" s="9" t="n">
        <f aca="false">VLOOKUP(B262,M:O,3,0)</f>
        <v>0.583333333333333</v>
      </c>
      <c r="J262" s="10" t="str">
        <f aca="false">VLOOKUP(B262,M:P,4,0)</f>
        <v>SERIATE VIA DECO' E CANETTA 66</v>
      </c>
    </row>
    <row r="263" customFormat="false" ht="12.5" hidden="false" customHeight="false" outlineLevel="0" collapsed="false">
      <c r="A263" s="12" t="n">
        <v>46088</v>
      </c>
      <c r="B263" s="0" t="s">
        <v>735</v>
      </c>
      <c r="C263" s="0" t="s">
        <v>733</v>
      </c>
      <c r="D263" s="4" t="s">
        <v>637</v>
      </c>
      <c r="E263" s="0" t="s">
        <v>69</v>
      </c>
      <c r="F263" s="0" t="n">
        <v>5</v>
      </c>
      <c r="G263" s="4" t="s">
        <v>553</v>
      </c>
      <c r="H263" s="0" t="s">
        <v>742</v>
      </c>
      <c r="I263" s="9" t="n">
        <f aca="false">VLOOKUP(B263,M:O,3,0)</f>
        <v>0.625</v>
      </c>
      <c r="J263" s="10" t="str">
        <f aca="false">VLOOKUP(B263,M:P,4,0)</f>
        <v>MONTELLO VIA L.ARIOSTO</v>
      </c>
    </row>
    <row r="264" customFormat="false" ht="12.5" hidden="false" customHeight="false" outlineLevel="0" collapsed="false">
      <c r="A264" s="12" t="n">
        <v>46088</v>
      </c>
      <c r="B264" s="0" t="s">
        <v>393</v>
      </c>
      <c r="C264" s="0" t="s">
        <v>395</v>
      </c>
      <c r="D264" s="4" t="s">
        <v>637</v>
      </c>
      <c r="E264" s="0" t="s">
        <v>69</v>
      </c>
      <c r="F264" s="0" t="n">
        <v>5</v>
      </c>
      <c r="G264" s="4" t="s">
        <v>553</v>
      </c>
      <c r="H264" s="0" t="s">
        <v>742</v>
      </c>
      <c r="I264" s="9" t="n">
        <f aca="false">VLOOKUP(B264,M:O,3,0)</f>
        <v>0.604166666666667</v>
      </c>
      <c r="J264" s="10" t="str">
        <f aca="false">VLOOKUP(B264,M:P,4,0)</f>
        <v>SAN PELLEGRINO TERME VIA B.BELOTTI 2</v>
      </c>
    </row>
    <row r="265" customFormat="false" ht="12.5" hidden="false" customHeight="false" outlineLevel="0" collapsed="false">
      <c r="A265" s="12" t="n">
        <v>46095</v>
      </c>
      <c r="B265" s="0" t="s">
        <v>733</v>
      </c>
      <c r="C265" s="0" t="s">
        <v>393</v>
      </c>
      <c r="D265" s="4" t="s">
        <v>637</v>
      </c>
      <c r="E265" s="0" t="s">
        <v>69</v>
      </c>
      <c r="F265" s="0" t="n">
        <v>6</v>
      </c>
      <c r="G265" s="4" t="s">
        <v>553</v>
      </c>
      <c r="H265" s="0" t="s">
        <v>742</v>
      </c>
      <c r="I265" s="9" t="n">
        <f aca="false">VLOOKUP(B265,M:O,3,0)</f>
        <v>0.604166666666667</v>
      </c>
      <c r="J265" s="10" t="str">
        <f aca="false">VLOOKUP(B265,M:P,4,0)</f>
        <v>CASNIGO VIA EUROPA</v>
      </c>
    </row>
    <row r="266" customFormat="false" ht="12.5" hidden="false" customHeight="false" outlineLevel="0" collapsed="false">
      <c r="A266" s="12" t="n">
        <v>46095</v>
      </c>
      <c r="B266" s="0" t="s">
        <v>734</v>
      </c>
      <c r="C266" s="0" t="s">
        <v>735</v>
      </c>
      <c r="D266" s="4" t="s">
        <v>637</v>
      </c>
      <c r="E266" s="0" t="s">
        <v>69</v>
      </c>
      <c r="F266" s="0" t="n">
        <v>6</v>
      </c>
      <c r="G266" s="4" t="s">
        <v>553</v>
      </c>
      <c r="H266" s="0" t="s">
        <v>742</v>
      </c>
      <c r="I266" s="9" t="n">
        <f aca="false">VLOOKUP(B266,M:O,3,0)</f>
        <v>0.604166666666667</v>
      </c>
      <c r="J266" s="10" t="str">
        <f aca="false">VLOOKUP(B266,M:P,4,0)</f>
        <v>CASNIGO VIA EUROPA</v>
      </c>
    </row>
    <row r="267" customFormat="false" ht="12.5" hidden="false" customHeight="false" outlineLevel="0" collapsed="false">
      <c r="A267" s="12" t="n">
        <v>46095</v>
      </c>
      <c r="B267" s="0" t="s">
        <v>519</v>
      </c>
      <c r="C267" s="0" t="s">
        <v>390</v>
      </c>
      <c r="D267" s="4" t="s">
        <v>637</v>
      </c>
      <c r="E267" s="0" t="s">
        <v>69</v>
      </c>
      <c r="F267" s="0" t="n">
        <v>6</v>
      </c>
      <c r="G267" s="4" t="s">
        <v>553</v>
      </c>
      <c r="H267" s="0" t="s">
        <v>742</v>
      </c>
      <c r="I267" s="9" t="n">
        <f aca="false">VLOOKUP(B267,M:O,3,0)</f>
        <v>0.604166666666667</v>
      </c>
      <c r="J267" s="10" t="str">
        <f aca="false">VLOOKUP(B267,M:P,4,0)</f>
        <v>RANICA PIAZZA L. BERTETT SNC</v>
      </c>
    </row>
    <row r="268" customFormat="false" ht="12.5" hidden="false" customHeight="false" outlineLevel="0" collapsed="false">
      <c r="A268" s="12" t="n">
        <v>46095</v>
      </c>
      <c r="B268" s="0" t="s">
        <v>395</v>
      </c>
      <c r="C268" s="0" t="s">
        <v>350</v>
      </c>
      <c r="D268" s="4" t="s">
        <v>637</v>
      </c>
      <c r="E268" s="0" t="s">
        <v>69</v>
      </c>
      <c r="F268" s="0" t="n">
        <v>6</v>
      </c>
      <c r="G268" s="4" t="s">
        <v>553</v>
      </c>
      <c r="H268" s="0" t="s">
        <v>742</v>
      </c>
      <c r="I268" s="9" t="n">
        <f aca="false">VLOOKUP(B268,M:O,3,0)</f>
        <v>0.604166666666667</v>
      </c>
      <c r="J268" s="10" t="str">
        <f aca="false">VLOOKUP(B268,M:P,4,0)</f>
        <v>ZOGNO VIA CAMANCHE SNC - CAMANGHE</v>
      </c>
    </row>
    <row r="269" customFormat="false" ht="12.5" hidden="false" customHeight="false" outlineLevel="0" collapsed="false">
      <c r="A269" s="12" t="n">
        <v>46102</v>
      </c>
      <c r="B269" s="0" t="s">
        <v>390</v>
      </c>
      <c r="C269" s="0" t="s">
        <v>730</v>
      </c>
      <c r="D269" s="4" t="s">
        <v>637</v>
      </c>
      <c r="E269" s="0" t="s">
        <v>69</v>
      </c>
      <c r="F269" s="0" t="n">
        <v>7</v>
      </c>
      <c r="G269" s="4" t="s">
        <v>553</v>
      </c>
      <c r="H269" s="0" t="s">
        <v>742</v>
      </c>
      <c r="I269" s="9" t="n">
        <f aca="false">VLOOKUP(B269,M:O,3,0)</f>
        <v>0.625</v>
      </c>
      <c r="J269" s="10" t="str">
        <f aca="false">VLOOKUP(B269,M:P,4,0)</f>
        <v>ALME' VIA OLIMPIA 8</v>
      </c>
    </row>
    <row r="270" customFormat="false" ht="12.5" hidden="false" customHeight="false" outlineLevel="0" collapsed="false">
      <c r="A270" s="12" t="n">
        <v>46102</v>
      </c>
      <c r="B270" s="0" t="s">
        <v>733</v>
      </c>
      <c r="C270" s="0" t="s">
        <v>395</v>
      </c>
      <c r="D270" s="4" t="s">
        <v>637</v>
      </c>
      <c r="E270" s="0" t="s">
        <v>69</v>
      </c>
      <c r="F270" s="0" t="n">
        <v>7</v>
      </c>
      <c r="G270" s="4" t="s">
        <v>553</v>
      </c>
      <c r="H270" s="0" t="s">
        <v>742</v>
      </c>
      <c r="I270" s="9" t="n">
        <f aca="false">VLOOKUP(B270,M:O,3,0)</f>
        <v>0.604166666666667</v>
      </c>
      <c r="J270" s="10" t="str">
        <f aca="false">VLOOKUP(B270,M:P,4,0)</f>
        <v>CASNIGO VIA EUROPA</v>
      </c>
    </row>
    <row r="271" customFormat="false" ht="12.5" hidden="false" customHeight="false" outlineLevel="0" collapsed="false">
      <c r="A271" s="12" t="n">
        <v>46102</v>
      </c>
      <c r="B271" s="0" t="s">
        <v>735</v>
      </c>
      <c r="C271" s="0" t="s">
        <v>519</v>
      </c>
      <c r="D271" s="4" t="s">
        <v>637</v>
      </c>
      <c r="E271" s="0" t="s">
        <v>69</v>
      </c>
      <c r="F271" s="0" t="n">
        <v>7</v>
      </c>
      <c r="G271" s="4" t="s">
        <v>553</v>
      </c>
      <c r="H271" s="0" t="s">
        <v>742</v>
      </c>
      <c r="I271" s="9" t="n">
        <f aca="false">VLOOKUP(B271,M:O,3,0)</f>
        <v>0.625</v>
      </c>
      <c r="J271" s="10" t="str">
        <f aca="false">VLOOKUP(B271,M:P,4,0)</f>
        <v>MONTELLO VIA L.ARIOSTO</v>
      </c>
    </row>
    <row r="272" customFormat="false" ht="12.5" hidden="false" customHeight="false" outlineLevel="0" collapsed="false">
      <c r="A272" s="12" t="n">
        <v>46102</v>
      </c>
      <c r="B272" s="0" t="s">
        <v>393</v>
      </c>
      <c r="C272" s="0" t="s">
        <v>734</v>
      </c>
      <c r="D272" s="4" t="s">
        <v>637</v>
      </c>
      <c r="E272" s="0" t="s">
        <v>69</v>
      </c>
      <c r="F272" s="0" t="n">
        <v>7</v>
      </c>
      <c r="G272" s="4" t="s">
        <v>553</v>
      </c>
      <c r="H272" s="0" t="s">
        <v>742</v>
      </c>
      <c r="I272" s="9" t="n">
        <f aca="false">VLOOKUP(B272,M:O,3,0)</f>
        <v>0.604166666666667</v>
      </c>
      <c r="J272" s="10" t="str">
        <f aca="false">VLOOKUP(B272,M:P,4,0)</f>
        <v>SAN PELLEGRINO TERME VIA B.BELOTTI 2</v>
      </c>
    </row>
    <row r="273" customFormat="false" ht="12.5" hidden="false" customHeight="false" outlineLevel="0" collapsed="false">
      <c r="A273" s="12" t="n">
        <v>46109</v>
      </c>
      <c r="B273" s="0" t="s">
        <v>350</v>
      </c>
      <c r="C273" s="0" t="s">
        <v>390</v>
      </c>
      <c r="D273" s="4" t="s">
        <v>637</v>
      </c>
      <c r="E273" s="0" t="s">
        <v>69</v>
      </c>
      <c r="F273" s="0" t="n">
        <v>8</v>
      </c>
      <c r="G273" s="4" t="s">
        <v>553</v>
      </c>
      <c r="H273" s="0" t="s">
        <v>742</v>
      </c>
      <c r="I273" s="9" t="n">
        <f aca="false">VLOOKUP(B273,M:O,3,0)</f>
        <v>0.583333333333333</v>
      </c>
      <c r="J273" s="10" t="str">
        <f aca="false">VLOOKUP(B273,M:P,4,0)</f>
        <v>SERIATE VIA DECO' E CANETTA 66</v>
      </c>
    </row>
    <row r="274" customFormat="false" ht="12.5" hidden="false" customHeight="false" outlineLevel="0" collapsed="false">
      <c r="A274" s="12" t="n">
        <v>46109</v>
      </c>
      <c r="B274" s="0" t="s">
        <v>734</v>
      </c>
      <c r="C274" s="0" t="s">
        <v>733</v>
      </c>
      <c r="D274" s="4" t="s">
        <v>637</v>
      </c>
      <c r="E274" s="0" t="s">
        <v>69</v>
      </c>
      <c r="F274" s="0" t="n">
        <v>8</v>
      </c>
      <c r="G274" s="4" t="s">
        <v>553</v>
      </c>
      <c r="H274" s="0" t="s">
        <v>742</v>
      </c>
      <c r="I274" s="9" t="n">
        <f aca="false">VLOOKUP(B274,M:O,3,0)</f>
        <v>0.604166666666667</v>
      </c>
      <c r="J274" s="10" t="str">
        <f aca="false">VLOOKUP(B274,M:P,4,0)</f>
        <v>CASNIGO VIA EUROPA</v>
      </c>
    </row>
    <row r="275" customFormat="false" ht="12.5" hidden="false" customHeight="false" outlineLevel="0" collapsed="false">
      <c r="A275" s="12" t="n">
        <v>46109</v>
      </c>
      <c r="B275" s="0" t="s">
        <v>730</v>
      </c>
      <c r="C275" s="0" t="s">
        <v>735</v>
      </c>
      <c r="D275" s="4" t="s">
        <v>637</v>
      </c>
      <c r="E275" s="0" t="s">
        <v>69</v>
      </c>
      <c r="F275" s="0" t="n">
        <v>8</v>
      </c>
      <c r="G275" s="4" t="s">
        <v>553</v>
      </c>
      <c r="H275" s="0" t="s">
        <v>742</v>
      </c>
      <c r="I275" s="9" t="n">
        <f aca="false">VLOOKUP(B275,M:O,3,0)</f>
        <v>0.625</v>
      </c>
      <c r="J275" s="10" t="str">
        <f aca="false">VLOOKUP(B275,M:P,4,0)</f>
        <v>SOVERE VIA CANNETO 4</v>
      </c>
    </row>
    <row r="276" customFormat="false" ht="12.5" hidden="false" customHeight="false" outlineLevel="0" collapsed="false">
      <c r="A276" s="12" t="n">
        <v>46109</v>
      </c>
      <c r="B276" s="0" t="s">
        <v>519</v>
      </c>
      <c r="C276" s="0" t="s">
        <v>393</v>
      </c>
      <c r="D276" s="4" t="s">
        <v>637</v>
      </c>
      <c r="E276" s="0" t="s">
        <v>69</v>
      </c>
      <c r="F276" s="0" t="n">
        <v>8</v>
      </c>
      <c r="G276" s="4" t="s">
        <v>553</v>
      </c>
      <c r="H276" s="0" t="s">
        <v>742</v>
      </c>
      <c r="I276" s="9" t="n">
        <f aca="false">VLOOKUP(B276,M:O,3,0)</f>
        <v>0.604166666666667</v>
      </c>
      <c r="J276" s="10" t="str">
        <f aca="false">VLOOKUP(B276,M:P,4,0)</f>
        <v>RANICA PIAZZA L. BERTETT SNC</v>
      </c>
    </row>
    <row r="277" customFormat="false" ht="12.5" hidden="false" customHeight="false" outlineLevel="0" collapsed="false">
      <c r="A277" s="12" t="n">
        <v>46123</v>
      </c>
      <c r="B277" s="0" t="s">
        <v>733</v>
      </c>
      <c r="C277" s="0" t="s">
        <v>519</v>
      </c>
      <c r="D277" s="4" t="s">
        <v>637</v>
      </c>
      <c r="E277" s="0" t="s">
        <v>69</v>
      </c>
      <c r="F277" s="0" t="n">
        <v>9</v>
      </c>
      <c r="G277" s="4" t="s">
        <v>553</v>
      </c>
      <c r="H277" s="0" t="s">
        <v>742</v>
      </c>
      <c r="I277" s="9" t="n">
        <f aca="false">VLOOKUP(B277,M:O,3,0)</f>
        <v>0.604166666666667</v>
      </c>
      <c r="J277" s="10" t="str">
        <f aca="false">VLOOKUP(B277,M:P,4,0)</f>
        <v>CASNIGO VIA EUROPA</v>
      </c>
    </row>
    <row r="278" customFormat="false" ht="12.5" hidden="false" customHeight="false" outlineLevel="0" collapsed="false">
      <c r="A278" s="12" t="n">
        <v>46123</v>
      </c>
      <c r="B278" s="0" t="s">
        <v>735</v>
      </c>
      <c r="C278" s="0" t="s">
        <v>350</v>
      </c>
      <c r="D278" s="4" t="s">
        <v>637</v>
      </c>
      <c r="E278" s="0" t="s">
        <v>69</v>
      </c>
      <c r="F278" s="0" t="n">
        <v>9</v>
      </c>
      <c r="G278" s="4" t="s">
        <v>553</v>
      </c>
      <c r="H278" s="0" t="s">
        <v>742</v>
      </c>
      <c r="I278" s="9" t="n">
        <f aca="false">VLOOKUP(B278,M:O,3,0)</f>
        <v>0.625</v>
      </c>
      <c r="J278" s="10" t="str">
        <f aca="false">VLOOKUP(B278,M:P,4,0)</f>
        <v>MONTELLO VIA L.ARIOSTO</v>
      </c>
    </row>
    <row r="279" customFormat="false" ht="12.5" hidden="false" customHeight="false" outlineLevel="0" collapsed="false">
      <c r="A279" s="12" t="n">
        <v>46123</v>
      </c>
      <c r="B279" s="0" t="s">
        <v>393</v>
      </c>
      <c r="C279" s="0" t="s">
        <v>730</v>
      </c>
      <c r="D279" s="4" t="s">
        <v>637</v>
      </c>
      <c r="E279" s="0" t="s">
        <v>69</v>
      </c>
      <c r="F279" s="0" t="n">
        <v>9</v>
      </c>
      <c r="G279" s="4" t="s">
        <v>553</v>
      </c>
      <c r="H279" s="0" t="s">
        <v>742</v>
      </c>
      <c r="I279" s="9" t="n">
        <f aca="false">VLOOKUP(B279,M:O,3,0)</f>
        <v>0.604166666666667</v>
      </c>
      <c r="J279" s="10" t="str">
        <f aca="false">VLOOKUP(B279,M:P,4,0)</f>
        <v>SAN PELLEGRINO TERME VIA B.BELOTTI 2</v>
      </c>
    </row>
    <row r="280" customFormat="false" ht="12.5" hidden="false" customHeight="false" outlineLevel="0" collapsed="false">
      <c r="A280" s="12" t="n">
        <v>46123</v>
      </c>
      <c r="B280" s="0" t="s">
        <v>395</v>
      </c>
      <c r="C280" s="0" t="s">
        <v>734</v>
      </c>
      <c r="D280" s="4" t="s">
        <v>637</v>
      </c>
      <c r="E280" s="0" t="s">
        <v>69</v>
      </c>
      <c r="F280" s="0" t="n">
        <v>9</v>
      </c>
      <c r="G280" s="4" t="s">
        <v>553</v>
      </c>
      <c r="H280" s="0" t="s">
        <v>290</v>
      </c>
      <c r="I280" s="9" t="n">
        <f aca="false">VLOOKUP(B280,M:O,3,0)</f>
        <v>0.604166666666667</v>
      </c>
      <c r="J280" s="10" t="str">
        <f aca="false">VLOOKUP(B280,M:P,4,0)</f>
        <v>ZOGNO VIA CAMANCHE SNC - CAMANGHE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3"/>
  <sheetViews>
    <sheetView showFormulas="false" showGridLines="true" showRowColHeaders="true" showZeros="true" rightToLeft="false" tabSelected="false" showOutlineSymbols="true" defaultGridColor="true" view="normal" topLeftCell="A78" colorId="64" zoomScale="100" zoomScaleNormal="100" zoomScalePageLayoutView="100" workbookViewId="0">
      <selection pane="topLeft" activeCell="M27" activeCellId="0" sqref="M27"/>
    </sheetView>
  </sheetViews>
  <sheetFormatPr defaultColWidth="11.9921875" defaultRowHeight="12.5" zeroHeight="false" outlineLevelRow="0" outlineLevelCol="0"/>
  <cols>
    <col collapsed="false" customWidth="true" hidden="false" outlineLevel="0" max="1" min="1" style="4" width="9.91"/>
    <col collapsed="false" customWidth="true" hidden="false" outlineLevel="0" max="3" min="2" style="0" width="28.27"/>
    <col collapsed="false" customWidth="true" hidden="false" outlineLevel="0" max="4" min="4" style="0" width="10.09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6" width="5.36"/>
    <col collapsed="false" customWidth="true" hidden="false" outlineLevel="0" max="10" min="10" style="0" width="43.63"/>
    <col collapsed="false" customWidth="true" hidden="false" outlineLevel="0" max="12" min="12" style="0" width="1.54"/>
    <col collapsed="false" customWidth="true" hidden="false" outlineLevel="0" max="13" min="13" style="0" width="26.27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43.63"/>
  </cols>
  <sheetData>
    <row r="1" customFormat="false" ht="12.5" hidden="false" customHeight="false" outlineLevel="0" collapsed="false">
      <c r="A1" s="4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8" t="s">
        <v>5</v>
      </c>
      <c r="J1" s="0" t="s">
        <v>6</v>
      </c>
      <c r="M1" s="0" t="s">
        <v>547</v>
      </c>
      <c r="N1" s="0" t="s">
        <v>548</v>
      </c>
      <c r="O1" s="14" t="s">
        <v>549</v>
      </c>
      <c r="P1" s="0" t="s">
        <v>550</v>
      </c>
    </row>
    <row r="2" customFormat="false" ht="12.5" hidden="false" customHeight="false" outlineLevel="0" collapsed="false">
      <c r="A2" s="20" t="n">
        <v>46060</v>
      </c>
      <c r="B2" s="0" t="s">
        <v>350</v>
      </c>
      <c r="C2" s="0" t="s">
        <v>300</v>
      </c>
      <c r="D2" s="0" t="s">
        <v>743</v>
      </c>
      <c r="E2" s="0" t="s">
        <v>364</v>
      </c>
      <c r="F2" s="0" t="n">
        <v>1</v>
      </c>
      <c r="G2" s="0" t="s">
        <v>553</v>
      </c>
      <c r="H2" s="9" t="s">
        <v>742</v>
      </c>
      <c r="I2" s="9" t="n">
        <f aca="false">VLOOKUP(B2,M:O,3,0)</f>
        <v>0.645833333333333</v>
      </c>
      <c r="J2" s="0" t="str">
        <f aca="false">VLOOKUP(B2,M:P,4,0)</f>
        <v>SERIATE VIA DECO' E CANETTA 66</v>
      </c>
      <c r="M2" s="0" t="s">
        <v>350</v>
      </c>
      <c r="N2" s="0" t="s">
        <v>364</v>
      </c>
      <c r="O2" s="17" t="n">
        <v>0.645833333333333</v>
      </c>
      <c r="P2" s="0" t="s">
        <v>729</v>
      </c>
    </row>
    <row r="3" customFormat="false" ht="12.5" hidden="false" customHeight="false" outlineLevel="0" collapsed="false">
      <c r="A3" s="20" t="n">
        <v>46060</v>
      </c>
      <c r="B3" s="0" t="s">
        <v>512</v>
      </c>
      <c r="C3" s="0" t="s">
        <v>295</v>
      </c>
      <c r="D3" s="0" t="s">
        <v>743</v>
      </c>
      <c r="E3" s="0" t="s">
        <v>364</v>
      </c>
      <c r="F3" s="0" t="n">
        <v>1</v>
      </c>
      <c r="G3" s="0" t="s">
        <v>553</v>
      </c>
      <c r="H3" s="9" t="s">
        <v>742</v>
      </c>
      <c r="I3" s="9" t="n">
        <f aca="false">VLOOKUP(B3,M:O,3,0)</f>
        <v>0.645833333333333</v>
      </c>
      <c r="J3" s="0" t="str">
        <f aca="false">VLOOKUP(B3,M:P,4,0)</f>
        <v>ALZANO LOMBARDO VIA EUROPA 50</v>
      </c>
      <c r="M3" s="0" t="s">
        <v>512</v>
      </c>
      <c r="N3" s="0" t="s">
        <v>364</v>
      </c>
      <c r="O3" s="17" t="n">
        <v>0.645833333333333</v>
      </c>
      <c r="P3" s="0" t="s">
        <v>744</v>
      </c>
    </row>
    <row r="4" customFormat="false" ht="12.5" hidden="false" customHeight="false" outlineLevel="0" collapsed="false">
      <c r="A4" s="20" t="n">
        <v>46060</v>
      </c>
      <c r="B4" s="0" t="s">
        <v>298</v>
      </c>
      <c r="C4" s="0" t="s">
        <v>745</v>
      </c>
      <c r="D4" s="0" t="s">
        <v>743</v>
      </c>
      <c r="E4" s="0" t="s">
        <v>364</v>
      </c>
      <c r="F4" s="0" t="n">
        <v>1</v>
      </c>
      <c r="G4" s="0" t="s">
        <v>553</v>
      </c>
      <c r="H4" s="0" t="s">
        <v>742</v>
      </c>
      <c r="I4" s="9" t="n">
        <f aca="false">VLOOKUP(B4,M:O,3,0)</f>
        <v>0.65625</v>
      </c>
      <c r="J4" s="0" t="str">
        <f aca="false">VLOOKUP(B4,M:P,4,0)</f>
        <v>LALLIO VIA EVARISTO BASCHENIS</v>
      </c>
      <c r="M4" s="0" t="s">
        <v>298</v>
      </c>
      <c r="N4" s="0" t="s">
        <v>364</v>
      </c>
      <c r="O4" s="17" t="n">
        <v>0.65625</v>
      </c>
      <c r="P4" s="0" t="s">
        <v>725</v>
      </c>
    </row>
    <row r="5" customFormat="false" ht="12.5" hidden="false" customHeight="false" outlineLevel="0" collapsed="false">
      <c r="A5" s="20" t="n">
        <v>46060</v>
      </c>
      <c r="B5" s="0" t="s">
        <v>416</v>
      </c>
      <c r="C5" s="0" t="s">
        <v>746</v>
      </c>
      <c r="D5" s="0" t="s">
        <v>743</v>
      </c>
      <c r="E5" s="0" t="s">
        <v>364</v>
      </c>
      <c r="F5" s="0" t="n">
        <v>1</v>
      </c>
      <c r="G5" s="0" t="s">
        <v>553</v>
      </c>
      <c r="H5" s="0" t="s">
        <v>742</v>
      </c>
      <c r="I5" s="9" t="n">
        <f aca="false">VLOOKUP(B5,M:O,3,0)</f>
        <v>0.604166666666667</v>
      </c>
      <c r="J5" s="0" t="str">
        <f aca="false">VLOOKUP(B5,M:P,4,0)</f>
        <v>ORIO AL SERIO VIA AEROPORTO</v>
      </c>
      <c r="M5" s="0" t="s">
        <v>416</v>
      </c>
      <c r="N5" s="0" t="s">
        <v>364</v>
      </c>
      <c r="O5" s="17" t="n">
        <v>0.604166666666667</v>
      </c>
      <c r="P5" s="0" t="s">
        <v>747</v>
      </c>
    </row>
    <row r="6" customFormat="false" ht="12.5" hidden="false" customHeight="false" outlineLevel="0" collapsed="false">
      <c r="A6" s="20" t="n">
        <v>46060</v>
      </c>
      <c r="B6" s="0" t="s">
        <v>395</v>
      </c>
      <c r="C6" s="0" t="s">
        <v>420</v>
      </c>
      <c r="D6" s="0" t="s">
        <v>743</v>
      </c>
      <c r="E6" s="0" t="s">
        <v>364</v>
      </c>
      <c r="F6" s="0" t="n">
        <v>1</v>
      </c>
      <c r="G6" s="0" t="s">
        <v>553</v>
      </c>
      <c r="H6" s="0" t="s">
        <v>742</v>
      </c>
      <c r="I6" s="9" t="n">
        <f aca="false">VLOOKUP(B6,M:O,3,0)</f>
        <v>0.604166666666667</v>
      </c>
      <c r="J6" s="0" t="str">
        <f aca="false">VLOOKUP(B6,M:P,4,0)</f>
        <v>ZOGNO VIA CAMANCHE SNC - CAMANGHE</v>
      </c>
      <c r="M6" s="0" t="s">
        <v>395</v>
      </c>
      <c r="N6" s="0" t="s">
        <v>364</v>
      </c>
      <c r="O6" s="17" t="n">
        <v>0.604166666666667</v>
      </c>
      <c r="P6" s="0" t="s">
        <v>737</v>
      </c>
    </row>
    <row r="7" customFormat="false" ht="12.5" hidden="false" customHeight="false" outlineLevel="0" collapsed="false">
      <c r="A7" s="20" t="n">
        <v>46067</v>
      </c>
      <c r="B7" s="0" t="s">
        <v>746</v>
      </c>
      <c r="C7" s="0" t="s">
        <v>350</v>
      </c>
      <c r="D7" s="0" t="s">
        <v>743</v>
      </c>
      <c r="E7" s="0" t="s">
        <v>364</v>
      </c>
      <c r="F7" s="0" t="n">
        <v>2</v>
      </c>
      <c r="G7" s="0" t="s">
        <v>553</v>
      </c>
      <c r="H7" s="0" t="s">
        <v>742</v>
      </c>
      <c r="I7" s="9" t="n">
        <f aca="false">VLOOKUP(B7,M:O,3,0)</f>
        <v>0.666666666666667</v>
      </c>
      <c r="J7" s="0" t="str">
        <f aca="false">VLOOKUP(B7,M:P,4,0)</f>
        <v>MOZZO VIA COLOMBERA 1</v>
      </c>
      <c r="M7" s="0" t="s">
        <v>746</v>
      </c>
      <c r="N7" s="0" t="s">
        <v>364</v>
      </c>
      <c r="O7" s="17" t="n">
        <v>0.666666666666667</v>
      </c>
      <c r="P7" s="0" t="s">
        <v>748</v>
      </c>
    </row>
    <row r="8" customFormat="false" ht="12.5" hidden="false" customHeight="false" outlineLevel="0" collapsed="false">
      <c r="A8" s="20" t="n">
        <v>46067</v>
      </c>
      <c r="B8" s="0" t="s">
        <v>295</v>
      </c>
      <c r="C8" s="0" t="s">
        <v>298</v>
      </c>
      <c r="D8" s="0" t="s">
        <v>743</v>
      </c>
      <c r="E8" s="0" t="s">
        <v>364</v>
      </c>
      <c r="F8" s="0" t="n">
        <v>2</v>
      </c>
      <c r="G8" s="0" t="s">
        <v>553</v>
      </c>
      <c r="H8" s="0" t="s">
        <v>742</v>
      </c>
      <c r="I8" s="9" t="n">
        <f aca="false">VLOOKUP(B8,M:O,3,0)</f>
        <v>0.625</v>
      </c>
      <c r="J8" s="0" t="str">
        <f aca="false">VLOOKUP(B8,M:P,4,0)</f>
        <v>BERGAMO Q.RE CELADINA VIA PIZZO SCAIS 1</v>
      </c>
      <c r="M8" s="0" t="s">
        <v>295</v>
      </c>
      <c r="N8" s="0" t="s">
        <v>364</v>
      </c>
      <c r="O8" s="17" t="n">
        <v>0.625</v>
      </c>
      <c r="P8" s="0" t="s">
        <v>749</v>
      </c>
    </row>
    <row r="9" customFormat="false" ht="12.5" hidden="false" customHeight="false" outlineLevel="0" collapsed="false">
      <c r="A9" s="20" t="n">
        <v>46067</v>
      </c>
      <c r="B9" s="0" t="s">
        <v>420</v>
      </c>
      <c r="C9" s="0" t="s">
        <v>512</v>
      </c>
      <c r="D9" s="0" t="s">
        <v>743</v>
      </c>
      <c r="E9" s="0" t="s">
        <v>364</v>
      </c>
      <c r="F9" s="0" t="n">
        <v>2</v>
      </c>
      <c r="G9" s="0" t="s">
        <v>553</v>
      </c>
      <c r="H9" s="0" t="s">
        <v>742</v>
      </c>
      <c r="I9" s="9" t="n">
        <f aca="false">VLOOKUP(B9,M:O,3,0)</f>
        <v>0.604166666666667</v>
      </c>
      <c r="J9" s="0" t="str">
        <f aca="false">VLOOKUP(B9,M:P,4,0)</f>
        <v>AMBIVERE VIA LEOPARDI SNC</v>
      </c>
      <c r="M9" s="0" t="s">
        <v>420</v>
      </c>
      <c r="N9" s="0" t="s">
        <v>364</v>
      </c>
      <c r="O9" s="17" t="n">
        <v>0.604166666666667</v>
      </c>
      <c r="P9" s="0" t="s">
        <v>750</v>
      </c>
    </row>
    <row r="10" customFormat="false" ht="12.5" hidden="false" customHeight="false" outlineLevel="0" collapsed="false">
      <c r="A10" s="20" t="n">
        <v>46067</v>
      </c>
      <c r="B10" s="0" t="s">
        <v>300</v>
      </c>
      <c r="C10" s="0" t="s">
        <v>395</v>
      </c>
      <c r="D10" s="0" t="s">
        <v>743</v>
      </c>
      <c r="E10" s="0" t="s">
        <v>364</v>
      </c>
      <c r="F10" s="0" t="n">
        <v>2</v>
      </c>
      <c r="G10" s="0" t="s">
        <v>553</v>
      </c>
      <c r="H10" s="0" t="s">
        <v>742</v>
      </c>
      <c r="I10" s="9" t="n">
        <f aca="false">VLOOKUP(B10,M:O,3,0)</f>
        <v>0.614583333333333</v>
      </c>
      <c r="J10" s="0" t="str">
        <f aca="false">VLOOKUP(B10,M:P,4,0)</f>
        <v>BERGAMO Q.RE CAMPAGNOLA VIA GASPARINI</v>
      </c>
      <c r="M10" s="0" t="s">
        <v>300</v>
      </c>
      <c r="N10" s="0" t="s">
        <v>364</v>
      </c>
      <c r="O10" s="17" t="n">
        <v>0.614583333333333</v>
      </c>
      <c r="P10" s="0" t="s">
        <v>751</v>
      </c>
    </row>
    <row r="11" customFormat="false" ht="12.5" hidden="false" customHeight="false" outlineLevel="0" collapsed="false">
      <c r="A11" s="20" t="n">
        <v>46067</v>
      </c>
      <c r="B11" s="0" t="s">
        <v>745</v>
      </c>
      <c r="C11" s="0" t="s">
        <v>416</v>
      </c>
      <c r="D11" s="0" t="s">
        <v>743</v>
      </c>
      <c r="E11" s="0" t="s">
        <v>364</v>
      </c>
      <c r="F11" s="0" t="n">
        <v>2</v>
      </c>
      <c r="G11" s="0" t="s">
        <v>553</v>
      </c>
      <c r="H11" s="0" t="s">
        <v>742</v>
      </c>
      <c r="I11" s="9" t="n">
        <f aca="false">VLOOKUP(B11,M:O,3,0)</f>
        <v>0.583333333333333</v>
      </c>
      <c r="J11" s="0" t="str">
        <f aca="false">VLOOKUP(B11,M:P,4,0)</f>
        <v>TORRE DE ROVERI VIA PAPA GIOVANNI XXIII° 6</v>
      </c>
      <c r="M11" s="0" t="s">
        <v>745</v>
      </c>
      <c r="N11" s="0" t="s">
        <v>364</v>
      </c>
      <c r="O11" s="17" t="n">
        <v>0.583333333333333</v>
      </c>
      <c r="P11" s="0" t="s">
        <v>752</v>
      </c>
    </row>
    <row r="12" customFormat="false" ht="12.5" hidden="false" customHeight="false" outlineLevel="0" collapsed="false">
      <c r="A12" s="20" t="n">
        <v>46074</v>
      </c>
      <c r="B12" s="0" t="s">
        <v>350</v>
      </c>
      <c r="C12" s="0" t="s">
        <v>416</v>
      </c>
      <c r="D12" s="0" t="s">
        <v>743</v>
      </c>
      <c r="E12" s="0" t="s">
        <v>364</v>
      </c>
      <c r="F12" s="0" t="n">
        <v>3</v>
      </c>
      <c r="G12" s="0" t="s">
        <v>553</v>
      </c>
      <c r="H12" s="0" t="s">
        <v>742</v>
      </c>
      <c r="I12" s="9" t="n">
        <f aca="false">VLOOKUP(B12,M:O,3,0)</f>
        <v>0.645833333333333</v>
      </c>
      <c r="J12" s="0" t="str">
        <f aca="false">VLOOKUP(B12,M:P,4,0)</f>
        <v>SERIATE VIA DECO' E CANETTA 66</v>
      </c>
      <c r="M12" s="0" t="s">
        <v>412</v>
      </c>
      <c r="N12" s="0" t="s">
        <v>388</v>
      </c>
      <c r="O12" s="17" t="n">
        <v>0.625</v>
      </c>
      <c r="P12" s="0" t="s">
        <v>753</v>
      </c>
    </row>
    <row r="13" customFormat="false" ht="13" hidden="false" customHeight="false" outlineLevel="0" collapsed="false">
      <c r="A13" s="20" t="n">
        <v>46074</v>
      </c>
      <c r="B13" s="0" t="s">
        <v>295</v>
      </c>
      <c r="C13" s="0" t="s">
        <v>745</v>
      </c>
      <c r="D13" s="0" t="s">
        <v>743</v>
      </c>
      <c r="E13" s="0" t="s">
        <v>364</v>
      </c>
      <c r="F13" s="0" t="n">
        <v>3</v>
      </c>
      <c r="G13" s="0" t="s">
        <v>553</v>
      </c>
      <c r="H13" s="0" t="s">
        <v>742</v>
      </c>
      <c r="I13" s="9" t="n">
        <f aca="false">VLOOKUP(B13,M:O,3,0)</f>
        <v>0.625</v>
      </c>
      <c r="J13" s="0" t="str">
        <f aca="false">VLOOKUP(B13,M:P,4,0)</f>
        <v>BERGAMO Q.RE CELADINA VIA PIZZO SCAIS 1</v>
      </c>
      <c r="M13" s="21" t="s">
        <v>754</v>
      </c>
      <c r="N13" s="0" t="s">
        <v>388</v>
      </c>
      <c r="O13" s="17" t="n">
        <v>0.604166666666667</v>
      </c>
      <c r="P13" s="0" t="s">
        <v>755</v>
      </c>
    </row>
    <row r="14" customFormat="false" ht="13" hidden="false" customHeight="false" outlineLevel="0" collapsed="false">
      <c r="A14" s="20" t="n">
        <v>46074</v>
      </c>
      <c r="B14" s="0" t="s">
        <v>512</v>
      </c>
      <c r="C14" s="0" t="s">
        <v>300</v>
      </c>
      <c r="D14" s="0" t="s">
        <v>743</v>
      </c>
      <c r="E14" s="0" t="s">
        <v>364</v>
      </c>
      <c r="F14" s="0" t="n">
        <v>3</v>
      </c>
      <c r="G14" s="0" t="s">
        <v>553</v>
      </c>
      <c r="H14" s="0" t="s">
        <v>742</v>
      </c>
      <c r="I14" s="9" t="n">
        <f aca="false">VLOOKUP(B14,M:O,3,0)</f>
        <v>0.645833333333333</v>
      </c>
      <c r="J14" s="0" t="str">
        <f aca="false">VLOOKUP(B14,M:P,4,0)</f>
        <v>ALZANO LOMBARDO VIA EUROPA 50</v>
      </c>
      <c r="M14" s="21" t="s">
        <v>756</v>
      </c>
      <c r="N14" s="0" t="s">
        <v>388</v>
      </c>
      <c r="O14" s="17" t="n">
        <v>0.645833333333333</v>
      </c>
      <c r="P14" s="0" t="s">
        <v>757</v>
      </c>
    </row>
    <row r="15" customFormat="false" ht="13" hidden="false" customHeight="false" outlineLevel="0" collapsed="false">
      <c r="A15" s="20" t="n">
        <v>46074</v>
      </c>
      <c r="B15" s="0" t="s">
        <v>298</v>
      </c>
      <c r="C15" s="0" t="s">
        <v>420</v>
      </c>
      <c r="D15" s="0" t="s">
        <v>743</v>
      </c>
      <c r="E15" s="0" t="s">
        <v>364</v>
      </c>
      <c r="F15" s="0" t="n">
        <v>3</v>
      </c>
      <c r="G15" s="0" t="s">
        <v>553</v>
      </c>
      <c r="H15" s="0" t="s">
        <v>742</v>
      </c>
      <c r="I15" s="9" t="n">
        <f aca="false">VLOOKUP(B15,M:O,3,0)</f>
        <v>0.65625</v>
      </c>
      <c r="J15" s="0" t="str">
        <f aca="false">VLOOKUP(B15,M:P,4,0)</f>
        <v>LALLIO VIA EVARISTO BASCHENIS</v>
      </c>
      <c r="M15" s="21" t="s">
        <v>758</v>
      </c>
      <c r="N15" s="0" t="s">
        <v>388</v>
      </c>
      <c r="O15" s="17" t="n">
        <v>0.677083333333333</v>
      </c>
      <c r="P15" s="0" t="s">
        <v>759</v>
      </c>
    </row>
    <row r="16" customFormat="false" ht="13" hidden="false" customHeight="false" outlineLevel="0" collapsed="false">
      <c r="A16" s="20" t="n">
        <v>46074</v>
      </c>
      <c r="B16" s="0" t="s">
        <v>395</v>
      </c>
      <c r="C16" s="0" t="s">
        <v>746</v>
      </c>
      <c r="D16" s="0" t="s">
        <v>743</v>
      </c>
      <c r="E16" s="0" t="s">
        <v>364</v>
      </c>
      <c r="F16" s="0" t="n">
        <v>3</v>
      </c>
      <c r="G16" s="0" t="s">
        <v>553</v>
      </c>
      <c r="H16" s="0" t="s">
        <v>742</v>
      </c>
      <c r="I16" s="9" t="n">
        <f aca="false">VLOOKUP(B16,M:O,3,0)</f>
        <v>0.604166666666667</v>
      </c>
      <c r="J16" s="0" t="str">
        <f aca="false">VLOOKUP(B16,M:P,4,0)</f>
        <v>ZOGNO VIA CAMANCHE SNC - CAMANGHE</v>
      </c>
      <c r="L16" s="0" t="s">
        <v>703</v>
      </c>
      <c r="M16" s="21" t="s">
        <v>760</v>
      </c>
      <c r="N16" s="0" t="s">
        <v>388</v>
      </c>
      <c r="O16" s="17" t="n">
        <v>0.416666666666667</v>
      </c>
      <c r="P16" s="0" t="s">
        <v>761</v>
      </c>
    </row>
    <row r="17" customFormat="false" ht="13" hidden="false" customHeight="false" outlineLevel="0" collapsed="false">
      <c r="A17" s="20" t="n">
        <v>46081</v>
      </c>
      <c r="B17" s="0" t="s">
        <v>746</v>
      </c>
      <c r="C17" s="0" t="s">
        <v>512</v>
      </c>
      <c r="D17" s="0" t="s">
        <v>743</v>
      </c>
      <c r="E17" s="0" t="s">
        <v>364</v>
      </c>
      <c r="F17" s="0" t="n">
        <v>4</v>
      </c>
      <c r="G17" s="0" t="s">
        <v>553</v>
      </c>
      <c r="H17" s="0" t="s">
        <v>742</v>
      </c>
      <c r="I17" s="9" t="n">
        <f aca="false">VLOOKUP(B17,M:O,3,0)</f>
        <v>0.666666666666667</v>
      </c>
      <c r="J17" s="0" t="str">
        <f aca="false">VLOOKUP(B17,M:P,4,0)</f>
        <v>MOZZO VIA COLOMBERA 1</v>
      </c>
      <c r="M17" s="21" t="s">
        <v>762</v>
      </c>
      <c r="N17" s="0" t="s">
        <v>388</v>
      </c>
      <c r="O17" s="17" t="n">
        <v>0.708333333333333</v>
      </c>
      <c r="P17" s="0" t="s">
        <v>763</v>
      </c>
    </row>
    <row r="18" customFormat="false" ht="13" hidden="false" customHeight="false" outlineLevel="0" collapsed="false">
      <c r="A18" s="20" t="n">
        <v>46081</v>
      </c>
      <c r="B18" s="0" t="s">
        <v>420</v>
      </c>
      <c r="C18" s="0" t="s">
        <v>295</v>
      </c>
      <c r="D18" s="0" t="s">
        <v>743</v>
      </c>
      <c r="E18" s="0" t="s">
        <v>364</v>
      </c>
      <c r="F18" s="0" t="n">
        <v>4</v>
      </c>
      <c r="G18" s="0" t="s">
        <v>553</v>
      </c>
      <c r="H18" s="0" t="s">
        <v>742</v>
      </c>
      <c r="I18" s="9" t="n">
        <f aca="false">VLOOKUP(B18,M:O,3,0)</f>
        <v>0.604166666666667</v>
      </c>
      <c r="J18" s="0" t="str">
        <f aca="false">VLOOKUP(B18,M:P,4,0)</f>
        <v>AMBIVERE VIA LEOPARDI SNC</v>
      </c>
      <c r="M18" s="21" t="s">
        <v>764</v>
      </c>
      <c r="N18" s="0" t="s">
        <v>388</v>
      </c>
      <c r="O18" s="17" t="n">
        <v>0.583333333333333</v>
      </c>
      <c r="P18" s="0" t="s">
        <v>765</v>
      </c>
    </row>
    <row r="19" customFormat="false" ht="13" hidden="false" customHeight="false" outlineLevel="0" collapsed="false">
      <c r="A19" s="20" t="n">
        <v>46081</v>
      </c>
      <c r="B19" s="0" t="s">
        <v>300</v>
      </c>
      <c r="C19" s="0" t="s">
        <v>298</v>
      </c>
      <c r="D19" s="0" t="s">
        <v>743</v>
      </c>
      <c r="E19" s="0" t="s">
        <v>364</v>
      </c>
      <c r="F19" s="0" t="n">
        <v>4</v>
      </c>
      <c r="G19" s="0" t="s">
        <v>553</v>
      </c>
      <c r="H19" s="0" t="s">
        <v>742</v>
      </c>
      <c r="I19" s="9" t="n">
        <f aca="false">VLOOKUP(B19,M:O,3,0)</f>
        <v>0.614583333333333</v>
      </c>
      <c r="J19" s="0" t="str">
        <f aca="false">VLOOKUP(B19,M:P,4,0)</f>
        <v>BERGAMO Q.RE CAMPAGNOLA VIA GASPARINI</v>
      </c>
      <c r="M19" s="21" t="s">
        <v>766</v>
      </c>
      <c r="N19" s="0" t="s">
        <v>388</v>
      </c>
      <c r="O19" s="17" t="n">
        <v>0.59375</v>
      </c>
      <c r="P19" s="0" t="s">
        <v>767</v>
      </c>
    </row>
    <row r="20" customFormat="false" ht="13" hidden="false" customHeight="false" outlineLevel="0" collapsed="false">
      <c r="A20" s="20" t="n">
        <v>46081</v>
      </c>
      <c r="B20" s="0" t="s">
        <v>416</v>
      </c>
      <c r="C20" s="0" t="s">
        <v>395</v>
      </c>
      <c r="D20" s="0" t="s">
        <v>743</v>
      </c>
      <c r="E20" s="0" t="s">
        <v>364</v>
      </c>
      <c r="F20" s="0" t="n">
        <v>4</v>
      </c>
      <c r="G20" s="0" t="s">
        <v>553</v>
      </c>
      <c r="H20" s="0" t="s">
        <v>742</v>
      </c>
      <c r="I20" s="9" t="n">
        <f aca="false">VLOOKUP(B20,M:O,3,0)</f>
        <v>0.604166666666667</v>
      </c>
      <c r="J20" s="0" t="str">
        <f aca="false">VLOOKUP(B20,M:P,4,0)</f>
        <v>ORIO AL SERIO VIA AEROPORTO</v>
      </c>
      <c r="M20" s="21" t="s">
        <v>768</v>
      </c>
      <c r="N20" s="0" t="s">
        <v>388</v>
      </c>
      <c r="O20" s="17" t="n">
        <v>0.625</v>
      </c>
      <c r="P20" s="0" t="s">
        <v>769</v>
      </c>
    </row>
    <row r="21" customFormat="false" ht="13" hidden="false" customHeight="false" outlineLevel="0" collapsed="false">
      <c r="A21" s="20" t="n">
        <v>46081</v>
      </c>
      <c r="B21" s="0" t="s">
        <v>745</v>
      </c>
      <c r="C21" s="0" t="s">
        <v>350</v>
      </c>
      <c r="D21" s="0" t="s">
        <v>743</v>
      </c>
      <c r="E21" s="0" t="s">
        <v>364</v>
      </c>
      <c r="F21" s="0" t="n">
        <v>4</v>
      </c>
      <c r="G21" s="0" t="s">
        <v>553</v>
      </c>
      <c r="H21" s="0" t="s">
        <v>742</v>
      </c>
      <c r="I21" s="9" t="n">
        <f aca="false">VLOOKUP(B21,M:O,3,0)</f>
        <v>0.583333333333333</v>
      </c>
      <c r="J21" s="0" t="str">
        <f aca="false">VLOOKUP(B21,M:P,4,0)</f>
        <v>TORRE DE ROVERI VIA PAPA GIOVANNI XXIII° 6</v>
      </c>
      <c r="M21" s="21" t="s">
        <v>770</v>
      </c>
      <c r="N21" s="0" t="s">
        <v>388</v>
      </c>
      <c r="O21" s="17" t="n">
        <v>0.604166666666667</v>
      </c>
      <c r="P21" s="0" t="s">
        <v>771</v>
      </c>
    </row>
    <row r="22" customFormat="false" ht="13" hidden="false" customHeight="false" outlineLevel="0" collapsed="false">
      <c r="A22" s="20" t="n">
        <v>46088</v>
      </c>
      <c r="B22" s="0" t="s">
        <v>295</v>
      </c>
      <c r="C22" s="0" t="s">
        <v>300</v>
      </c>
      <c r="D22" s="0" t="s">
        <v>743</v>
      </c>
      <c r="E22" s="0" t="s">
        <v>364</v>
      </c>
      <c r="F22" s="0" t="n">
        <v>5</v>
      </c>
      <c r="G22" s="0" t="s">
        <v>553</v>
      </c>
      <c r="H22" s="0" t="s">
        <v>742</v>
      </c>
      <c r="I22" s="9" t="n">
        <f aca="false">VLOOKUP(B22,M:O,3,0)</f>
        <v>0.625</v>
      </c>
      <c r="J22" s="0" t="str">
        <f aca="false">VLOOKUP(B22,M:P,4,0)</f>
        <v>BERGAMO Q.RE CELADINA VIA PIZZO SCAIS 1</v>
      </c>
      <c r="L22" s="0" t="s">
        <v>703</v>
      </c>
      <c r="M22" s="21" t="s">
        <v>772</v>
      </c>
      <c r="N22" s="0" t="s">
        <v>388</v>
      </c>
      <c r="O22" s="17" t="n">
        <v>0.395833333333333</v>
      </c>
      <c r="P22" s="0" t="s">
        <v>773</v>
      </c>
    </row>
    <row r="23" customFormat="false" ht="12.5" hidden="false" customHeight="false" outlineLevel="0" collapsed="false">
      <c r="A23" s="20" t="n">
        <v>46088</v>
      </c>
      <c r="B23" s="0" t="s">
        <v>512</v>
      </c>
      <c r="C23" s="0" t="s">
        <v>416</v>
      </c>
      <c r="D23" s="0" t="s">
        <v>743</v>
      </c>
      <c r="E23" s="0" t="s">
        <v>364</v>
      </c>
      <c r="F23" s="0" t="n">
        <v>5</v>
      </c>
      <c r="G23" s="0" t="s">
        <v>553</v>
      </c>
      <c r="H23" s="0" t="s">
        <v>742</v>
      </c>
      <c r="I23" s="9" t="n">
        <f aca="false">VLOOKUP(B23,M:O,3,0)</f>
        <v>0.645833333333333</v>
      </c>
      <c r="J23" s="0" t="str">
        <f aca="false">VLOOKUP(B23,M:P,4,0)</f>
        <v>ALZANO LOMBARDO VIA EUROPA 50</v>
      </c>
    </row>
    <row r="24" customFormat="false" ht="12.5" hidden="false" customHeight="false" outlineLevel="0" collapsed="false">
      <c r="A24" s="20" t="n">
        <v>46088</v>
      </c>
      <c r="B24" s="0" t="s">
        <v>420</v>
      </c>
      <c r="C24" s="0" t="s">
        <v>745</v>
      </c>
      <c r="D24" s="0" t="s">
        <v>743</v>
      </c>
      <c r="E24" s="0" t="s">
        <v>364</v>
      </c>
      <c r="F24" s="0" t="n">
        <v>5</v>
      </c>
      <c r="G24" s="0" t="s">
        <v>553</v>
      </c>
      <c r="H24" s="0" t="s">
        <v>742</v>
      </c>
      <c r="I24" s="9" t="n">
        <f aca="false">VLOOKUP(B24,M:O,3,0)</f>
        <v>0.604166666666667</v>
      </c>
      <c r="J24" s="0" t="str">
        <f aca="false">VLOOKUP(B24,M:P,4,0)</f>
        <v>AMBIVERE VIA LEOPARDI SNC</v>
      </c>
    </row>
    <row r="25" customFormat="false" ht="12.5" hidden="false" customHeight="false" outlineLevel="0" collapsed="false">
      <c r="A25" s="20" t="n">
        <v>46088</v>
      </c>
      <c r="B25" s="0" t="s">
        <v>298</v>
      </c>
      <c r="C25" s="0" t="s">
        <v>746</v>
      </c>
      <c r="D25" s="0" t="s">
        <v>743</v>
      </c>
      <c r="E25" s="0" t="s">
        <v>364</v>
      </c>
      <c r="F25" s="0" t="n">
        <v>5</v>
      </c>
      <c r="G25" s="0" t="s">
        <v>553</v>
      </c>
      <c r="H25" s="0" t="s">
        <v>742</v>
      </c>
      <c r="I25" s="9" t="n">
        <f aca="false">VLOOKUP(B25,M:O,3,0)</f>
        <v>0.65625</v>
      </c>
      <c r="J25" s="0" t="str">
        <f aca="false">VLOOKUP(B25,M:P,4,0)</f>
        <v>LALLIO VIA EVARISTO BASCHENIS</v>
      </c>
    </row>
    <row r="26" customFormat="false" ht="12.5" hidden="false" customHeight="false" outlineLevel="0" collapsed="false">
      <c r="A26" s="20" t="n">
        <v>46088</v>
      </c>
      <c r="B26" s="0" t="s">
        <v>395</v>
      </c>
      <c r="C26" s="0" t="s">
        <v>350</v>
      </c>
      <c r="D26" s="0" t="s">
        <v>743</v>
      </c>
      <c r="E26" s="0" t="s">
        <v>364</v>
      </c>
      <c r="F26" s="0" t="n">
        <v>5</v>
      </c>
      <c r="G26" s="0" t="s">
        <v>553</v>
      </c>
      <c r="H26" s="0" t="s">
        <v>742</v>
      </c>
      <c r="I26" s="9" t="n">
        <f aca="false">VLOOKUP(B26,M:O,3,0)</f>
        <v>0.604166666666667</v>
      </c>
      <c r="J26" s="0" t="str">
        <f aca="false">VLOOKUP(B26,M:P,4,0)</f>
        <v>ZOGNO VIA CAMANCHE SNC - CAMANGHE</v>
      </c>
    </row>
    <row r="27" customFormat="false" ht="12.5" hidden="false" customHeight="false" outlineLevel="0" collapsed="false">
      <c r="A27" s="20" t="n">
        <v>46095</v>
      </c>
      <c r="B27" s="0" t="s">
        <v>350</v>
      </c>
      <c r="C27" s="0" t="s">
        <v>512</v>
      </c>
      <c r="D27" s="0" t="s">
        <v>743</v>
      </c>
      <c r="E27" s="0" t="s">
        <v>364</v>
      </c>
      <c r="F27" s="0" t="n">
        <v>6</v>
      </c>
      <c r="G27" s="0" t="s">
        <v>553</v>
      </c>
      <c r="H27" s="0" t="s">
        <v>742</v>
      </c>
      <c r="I27" s="9" t="n">
        <f aca="false">VLOOKUP(B27,M:O,3,0)</f>
        <v>0.645833333333333</v>
      </c>
      <c r="J27" s="0" t="str">
        <f aca="false">VLOOKUP(B27,M:P,4,0)</f>
        <v>SERIATE VIA DECO' E CANETTA 66</v>
      </c>
    </row>
    <row r="28" customFormat="false" ht="12.5" hidden="false" customHeight="false" outlineLevel="0" collapsed="false">
      <c r="A28" s="20" t="n">
        <v>46095</v>
      </c>
      <c r="B28" s="0" t="s">
        <v>746</v>
      </c>
      <c r="C28" s="0" t="s">
        <v>295</v>
      </c>
      <c r="D28" s="0" t="s">
        <v>743</v>
      </c>
      <c r="E28" s="0" t="s">
        <v>364</v>
      </c>
      <c r="F28" s="0" t="n">
        <v>6</v>
      </c>
      <c r="G28" s="0" t="s">
        <v>553</v>
      </c>
      <c r="H28" s="0" t="s">
        <v>742</v>
      </c>
      <c r="I28" s="9" t="n">
        <f aca="false">VLOOKUP(B28,M:O,3,0)</f>
        <v>0.666666666666667</v>
      </c>
      <c r="J28" s="0" t="str">
        <f aca="false">VLOOKUP(B28,M:P,4,0)</f>
        <v>MOZZO VIA COLOMBERA 1</v>
      </c>
    </row>
    <row r="29" customFormat="false" ht="12.5" hidden="false" customHeight="false" outlineLevel="0" collapsed="false">
      <c r="A29" s="20" t="n">
        <v>46095</v>
      </c>
      <c r="B29" s="0" t="s">
        <v>300</v>
      </c>
      <c r="C29" s="0" t="s">
        <v>420</v>
      </c>
      <c r="D29" s="0" t="s">
        <v>743</v>
      </c>
      <c r="E29" s="0" t="s">
        <v>364</v>
      </c>
      <c r="F29" s="0" t="n">
        <v>6</v>
      </c>
      <c r="G29" s="0" t="s">
        <v>553</v>
      </c>
      <c r="H29" s="0" t="s">
        <v>742</v>
      </c>
      <c r="I29" s="9" t="n">
        <f aca="false">VLOOKUP(B29,M:O,3,0)</f>
        <v>0.614583333333333</v>
      </c>
      <c r="J29" s="0" t="str">
        <f aca="false">VLOOKUP(B29,M:P,4,0)</f>
        <v>BERGAMO Q.RE CAMPAGNOLA VIA GASPARINI</v>
      </c>
    </row>
    <row r="30" customFormat="false" ht="12.5" hidden="false" customHeight="false" outlineLevel="0" collapsed="false">
      <c r="A30" s="20" t="n">
        <v>46095</v>
      </c>
      <c r="B30" s="0" t="s">
        <v>416</v>
      </c>
      <c r="C30" s="0" t="s">
        <v>298</v>
      </c>
      <c r="D30" s="0" t="s">
        <v>743</v>
      </c>
      <c r="E30" s="0" t="s">
        <v>364</v>
      </c>
      <c r="F30" s="0" t="n">
        <v>6</v>
      </c>
      <c r="G30" s="0" t="s">
        <v>553</v>
      </c>
      <c r="H30" s="0" t="s">
        <v>742</v>
      </c>
      <c r="I30" s="9" t="n">
        <f aca="false">VLOOKUP(B30,M:O,3,0)</f>
        <v>0.604166666666667</v>
      </c>
      <c r="J30" s="0" t="str">
        <f aca="false">VLOOKUP(B30,M:P,4,0)</f>
        <v>ORIO AL SERIO VIA AEROPORTO</v>
      </c>
    </row>
    <row r="31" customFormat="false" ht="12.5" hidden="false" customHeight="false" outlineLevel="0" collapsed="false">
      <c r="A31" s="20" t="n">
        <v>46095</v>
      </c>
      <c r="B31" s="0" t="s">
        <v>745</v>
      </c>
      <c r="C31" s="0" t="s">
        <v>395</v>
      </c>
      <c r="D31" s="0" t="s">
        <v>743</v>
      </c>
      <c r="E31" s="0" t="s">
        <v>364</v>
      </c>
      <c r="F31" s="0" t="n">
        <v>6</v>
      </c>
      <c r="G31" s="0" t="s">
        <v>553</v>
      </c>
      <c r="H31" s="0" t="s">
        <v>742</v>
      </c>
      <c r="I31" s="9" t="n">
        <f aca="false">VLOOKUP(B31,M:O,3,0)</f>
        <v>0.583333333333333</v>
      </c>
      <c r="J31" s="0" t="str">
        <f aca="false">VLOOKUP(B31,M:P,4,0)</f>
        <v>TORRE DE ROVERI VIA PAPA GIOVANNI XXIII° 6</v>
      </c>
    </row>
    <row r="32" customFormat="false" ht="12.5" hidden="false" customHeight="false" outlineLevel="0" collapsed="false">
      <c r="A32" s="20" t="n">
        <v>46102</v>
      </c>
      <c r="B32" s="0" t="s">
        <v>295</v>
      </c>
      <c r="C32" s="0" t="s">
        <v>416</v>
      </c>
      <c r="D32" s="0" t="s">
        <v>743</v>
      </c>
      <c r="E32" s="0" t="s">
        <v>364</v>
      </c>
      <c r="F32" s="0" t="n">
        <v>7</v>
      </c>
      <c r="G32" s="0" t="s">
        <v>553</v>
      </c>
      <c r="H32" s="0" t="s">
        <v>742</v>
      </c>
      <c r="I32" s="9" t="n">
        <f aca="false">VLOOKUP(B32,M:O,3,0)</f>
        <v>0.625</v>
      </c>
      <c r="J32" s="0" t="str">
        <f aca="false">VLOOKUP(B32,M:P,4,0)</f>
        <v>BERGAMO Q.RE CELADINA VIA PIZZO SCAIS 1</v>
      </c>
    </row>
    <row r="33" customFormat="false" ht="12.5" hidden="false" customHeight="false" outlineLevel="0" collapsed="false">
      <c r="A33" s="20" t="n">
        <v>46102</v>
      </c>
      <c r="B33" s="0" t="s">
        <v>512</v>
      </c>
      <c r="C33" s="0" t="s">
        <v>395</v>
      </c>
      <c r="D33" s="0" t="s">
        <v>743</v>
      </c>
      <c r="E33" s="0" t="s">
        <v>364</v>
      </c>
      <c r="F33" s="0" t="n">
        <v>7</v>
      </c>
      <c r="G33" s="0" t="s">
        <v>553</v>
      </c>
      <c r="H33" s="0" t="s">
        <v>742</v>
      </c>
      <c r="I33" s="9" t="n">
        <f aca="false">VLOOKUP(B33,M:O,3,0)</f>
        <v>0.645833333333333</v>
      </c>
      <c r="J33" s="0" t="str">
        <f aca="false">VLOOKUP(B33,M:P,4,0)</f>
        <v>ALZANO LOMBARDO VIA EUROPA 50</v>
      </c>
    </row>
    <row r="34" customFormat="false" ht="12.5" hidden="false" customHeight="false" outlineLevel="0" collapsed="false">
      <c r="A34" s="20" t="n">
        <v>46102</v>
      </c>
      <c r="B34" s="0" t="s">
        <v>420</v>
      </c>
      <c r="C34" s="0" t="s">
        <v>746</v>
      </c>
      <c r="D34" s="0" t="s">
        <v>743</v>
      </c>
      <c r="E34" s="0" t="s">
        <v>364</v>
      </c>
      <c r="F34" s="0" t="n">
        <v>7</v>
      </c>
      <c r="G34" s="0" t="s">
        <v>553</v>
      </c>
      <c r="H34" s="0" t="s">
        <v>742</v>
      </c>
      <c r="I34" s="9" t="n">
        <f aca="false">VLOOKUP(B34,M:O,3,0)</f>
        <v>0.604166666666667</v>
      </c>
      <c r="J34" s="0" t="str">
        <f aca="false">VLOOKUP(B34,M:P,4,0)</f>
        <v>AMBIVERE VIA LEOPARDI SNC</v>
      </c>
    </row>
    <row r="35" customFormat="false" ht="12.5" hidden="false" customHeight="false" outlineLevel="0" collapsed="false">
      <c r="A35" s="20" t="n">
        <v>46102</v>
      </c>
      <c r="B35" s="0" t="s">
        <v>298</v>
      </c>
      <c r="C35" s="0" t="s">
        <v>350</v>
      </c>
      <c r="D35" s="0" t="s">
        <v>743</v>
      </c>
      <c r="E35" s="0" t="s">
        <v>364</v>
      </c>
      <c r="F35" s="0" t="n">
        <v>7</v>
      </c>
      <c r="G35" s="0" t="s">
        <v>553</v>
      </c>
      <c r="H35" s="0" t="s">
        <v>742</v>
      </c>
      <c r="I35" s="9" t="n">
        <f aca="false">VLOOKUP(B35,M:O,3,0)</f>
        <v>0.65625</v>
      </c>
      <c r="J35" s="0" t="str">
        <f aca="false">VLOOKUP(B35,M:P,4,0)</f>
        <v>LALLIO VIA EVARISTO BASCHENIS</v>
      </c>
    </row>
    <row r="36" customFormat="false" ht="12.5" hidden="false" customHeight="false" outlineLevel="0" collapsed="false">
      <c r="A36" s="20" t="n">
        <v>46102</v>
      </c>
      <c r="B36" s="0" t="s">
        <v>300</v>
      </c>
      <c r="C36" s="0" t="s">
        <v>745</v>
      </c>
      <c r="D36" s="0" t="s">
        <v>743</v>
      </c>
      <c r="E36" s="0" t="s">
        <v>364</v>
      </c>
      <c r="F36" s="0" t="n">
        <v>7</v>
      </c>
      <c r="G36" s="0" t="s">
        <v>553</v>
      </c>
      <c r="H36" s="0" t="s">
        <v>742</v>
      </c>
      <c r="I36" s="9" t="n">
        <f aca="false">VLOOKUP(B36,M:O,3,0)</f>
        <v>0.614583333333333</v>
      </c>
      <c r="J36" s="0" t="str">
        <f aca="false">VLOOKUP(B36,M:P,4,0)</f>
        <v>BERGAMO Q.RE CAMPAGNOLA VIA GASPARINI</v>
      </c>
    </row>
    <row r="37" customFormat="false" ht="12.5" hidden="false" customHeight="false" outlineLevel="0" collapsed="false">
      <c r="A37" s="20" t="n">
        <v>46109</v>
      </c>
      <c r="B37" s="0" t="s">
        <v>350</v>
      </c>
      <c r="C37" s="0" t="s">
        <v>295</v>
      </c>
      <c r="D37" s="0" t="s">
        <v>743</v>
      </c>
      <c r="E37" s="0" t="s">
        <v>364</v>
      </c>
      <c r="F37" s="0" t="n">
        <v>8</v>
      </c>
      <c r="G37" s="0" t="s">
        <v>553</v>
      </c>
      <c r="H37" s="0" t="s">
        <v>742</v>
      </c>
      <c r="I37" s="9" t="n">
        <f aca="false">VLOOKUP(B37,M:O,3,0)</f>
        <v>0.645833333333333</v>
      </c>
      <c r="J37" s="0" t="str">
        <f aca="false">VLOOKUP(B37,M:P,4,0)</f>
        <v>SERIATE VIA DECO' E CANETTA 66</v>
      </c>
    </row>
    <row r="38" customFormat="false" ht="12.5" hidden="false" customHeight="false" outlineLevel="0" collapsed="false">
      <c r="A38" s="20" t="n">
        <v>46109</v>
      </c>
      <c r="B38" s="0" t="s">
        <v>746</v>
      </c>
      <c r="C38" s="0" t="s">
        <v>300</v>
      </c>
      <c r="D38" s="0" t="s">
        <v>743</v>
      </c>
      <c r="E38" s="0" t="s">
        <v>364</v>
      </c>
      <c r="F38" s="0" t="n">
        <v>8</v>
      </c>
      <c r="G38" s="0" t="s">
        <v>553</v>
      </c>
      <c r="H38" s="0" t="s">
        <v>742</v>
      </c>
      <c r="I38" s="9" t="n">
        <f aca="false">VLOOKUP(B38,M:O,3,0)</f>
        <v>0.666666666666667</v>
      </c>
      <c r="J38" s="0" t="str">
        <f aca="false">VLOOKUP(B38,M:P,4,0)</f>
        <v>MOZZO VIA COLOMBERA 1</v>
      </c>
    </row>
    <row r="39" customFormat="false" ht="12.5" hidden="false" customHeight="false" outlineLevel="0" collapsed="false">
      <c r="A39" s="20" t="n">
        <v>46109</v>
      </c>
      <c r="B39" s="0" t="s">
        <v>512</v>
      </c>
      <c r="C39" s="0" t="s">
        <v>745</v>
      </c>
      <c r="D39" s="0" t="s">
        <v>743</v>
      </c>
      <c r="E39" s="0" t="s">
        <v>364</v>
      </c>
      <c r="F39" s="0" t="n">
        <v>8</v>
      </c>
      <c r="G39" s="0" t="s">
        <v>553</v>
      </c>
      <c r="H39" s="0" t="s">
        <v>742</v>
      </c>
      <c r="I39" s="9" t="n">
        <f aca="false">VLOOKUP(B39,M:O,3,0)</f>
        <v>0.645833333333333</v>
      </c>
      <c r="J39" s="0" t="str">
        <f aca="false">VLOOKUP(B39,M:P,4,0)</f>
        <v>ALZANO LOMBARDO VIA EUROPA 50</v>
      </c>
    </row>
    <row r="40" customFormat="false" ht="12.5" hidden="false" customHeight="false" outlineLevel="0" collapsed="false">
      <c r="A40" s="20" t="n">
        <v>46109</v>
      </c>
      <c r="B40" s="0" t="s">
        <v>416</v>
      </c>
      <c r="C40" s="0" t="s">
        <v>420</v>
      </c>
      <c r="D40" s="0" t="s">
        <v>743</v>
      </c>
      <c r="E40" s="0" t="s">
        <v>364</v>
      </c>
      <c r="F40" s="0" t="n">
        <v>8</v>
      </c>
      <c r="G40" s="0" t="s">
        <v>553</v>
      </c>
      <c r="H40" s="0" t="s">
        <v>742</v>
      </c>
      <c r="I40" s="9" t="n">
        <f aca="false">VLOOKUP(B40,M:O,3,0)</f>
        <v>0.604166666666667</v>
      </c>
      <c r="J40" s="0" t="str">
        <f aca="false">VLOOKUP(B40,M:P,4,0)</f>
        <v>ORIO AL SERIO VIA AEROPORTO</v>
      </c>
    </row>
    <row r="41" customFormat="false" ht="12.5" hidden="false" customHeight="false" outlineLevel="0" collapsed="false">
      <c r="A41" s="20" t="n">
        <v>46109</v>
      </c>
      <c r="B41" s="0" t="s">
        <v>395</v>
      </c>
      <c r="C41" s="0" t="s">
        <v>298</v>
      </c>
      <c r="D41" s="0" t="s">
        <v>743</v>
      </c>
      <c r="E41" s="0" t="s">
        <v>364</v>
      </c>
      <c r="F41" s="0" t="n">
        <v>8</v>
      </c>
      <c r="G41" s="0" t="s">
        <v>553</v>
      </c>
      <c r="H41" s="0" t="s">
        <v>742</v>
      </c>
      <c r="I41" s="9" t="n">
        <f aca="false">VLOOKUP(B41,M:O,3,0)</f>
        <v>0.604166666666667</v>
      </c>
      <c r="J41" s="0" t="str">
        <f aca="false">VLOOKUP(B41,M:P,4,0)</f>
        <v>ZOGNO VIA CAMANCHE SNC - CAMANGHE</v>
      </c>
    </row>
    <row r="42" customFormat="false" ht="12.5" hidden="false" customHeight="false" outlineLevel="0" collapsed="false">
      <c r="A42" s="20" t="n">
        <v>46123</v>
      </c>
      <c r="B42" s="0" t="s">
        <v>295</v>
      </c>
      <c r="C42" s="0" t="s">
        <v>395</v>
      </c>
      <c r="D42" s="0" t="s">
        <v>743</v>
      </c>
      <c r="E42" s="0" t="s">
        <v>364</v>
      </c>
      <c r="F42" s="0" t="n">
        <v>9</v>
      </c>
      <c r="G42" s="0" t="s">
        <v>553</v>
      </c>
      <c r="H42" s="0" t="s">
        <v>742</v>
      </c>
      <c r="I42" s="9" t="n">
        <f aca="false">VLOOKUP(B42,M:O,3,0)</f>
        <v>0.625</v>
      </c>
      <c r="J42" s="0" t="str">
        <f aca="false">VLOOKUP(B42,M:P,4,0)</f>
        <v>BERGAMO Q.RE CELADINA VIA PIZZO SCAIS 1</v>
      </c>
    </row>
    <row r="43" customFormat="false" ht="12.5" hidden="false" customHeight="false" outlineLevel="0" collapsed="false">
      <c r="A43" s="20" t="n">
        <v>46123</v>
      </c>
      <c r="B43" s="0" t="s">
        <v>420</v>
      </c>
      <c r="C43" s="0" t="s">
        <v>350</v>
      </c>
      <c r="D43" s="0" t="s">
        <v>743</v>
      </c>
      <c r="E43" s="0" t="s">
        <v>364</v>
      </c>
      <c r="F43" s="0" t="n">
        <v>9</v>
      </c>
      <c r="G43" s="0" t="s">
        <v>553</v>
      </c>
      <c r="H43" s="0" t="s">
        <v>742</v>
      </c>
      <c r="I43" s="9" t="n">
        <f aca="false">VLOOKUP(B43,M:O,3,0)</f>
        <v>0.604166666666667</v>
      </c>
      <c r="J43" s="0" t="str">
        <f aca="false">VLOOKUP(B43,M:P,4,0)</f>
        <v>AMBIVERE VIA LEOPARDI SNC</v>
      </c>
    </row>
    <row r="44" customFormat="false" ht="12.5" hidden="false" customHeight="false" outlineLevel="0" collapsed="false">
      <c r="A44" s="20" t="n">
        <v>46123</v>
      </c>
      <c r="B44" s="0" t="s">
        <v>298</v>
      </c>
      <c r="C44" s="0" t="s">
        <v>512</v>
      </c>
      <c r="D44" s="0" t="s">
        <v>743</v>
      </c>
      <c r="E44" s="0" t="s">
        <v>364</v>
      </c>
      <c r="F44" s="0" t="n">
        <v>9</v>
      </c>
      <c r="G44" s="0" t="s">
        <v>553</v>
      </c>
      <c r="H44" s="0" t="s">
        <v>742</v>
      </c>
      <c r="I44" s="9" t="n">
        <f aca="false">VLOOKUP(B44,M:O,3,0)</f>
        <v>0.65625</v>
      </c>
      <c r="J44" s="0" t="str">
        <f aca="false">VLOOKUP(B44,M:P,4,0)</f>
        <v>LALLIO VIA EVARISTO BASCHENIS</v>
      </c>
    </row>
    <row r="45" customFormat="false" ht="12.5" hidden="false" customHeight="false" outlineLevel="0" collapsed="false">
      <c r="A45" s="20" t="n">
        <v>46123</v>
      </c>
      <c r="B45" s="0" t="s">
        <v>300</v>
      </c>
      <c r="C45" s="0" t="s">
        <v>416</v>
      </c>
      <c r="D45" s="0" t="s">
        <v>743</v>
      </c>
      <c r="E45" s="0" t="s">
        <v>364</v>
      </c>
      <c r="F45" s="0" t="n">
        <v>9</v>
      </c>
      <c r="G45" s="0" t="s">
        <v>553</v>
      </c>
      <c r="H45" s="0" t="s">
        <v>742</v>
      </c>
      <c r="I45" s="9" t="n">
        <f aca="false">VLOOKUP(B45,M:O,3,0)</f>
        <v>0.614583333333333</v>
      </c>
      <c r="J45" s="0" t="str">
        <f aca="false">VLOOKUP(B45,M:P,4,0)</f>
        <v>BERGAMO Q.RE CAMPAGNOLA VIA GASPARINI</v>
      </c>
    </row>
    <row r="46" customFormat="false" ht="12.5" hidden="false" customHeight="false" outlineLevel="0" collapsed="false">
      <c r="A46" s="20" t="n">
        <v>46123</v>
      </c>
      <c r="B46" s="0" t="s">
        <v>745</v>
      </c>
      <c r="C46" s="0" t="s">
        <v>746</v>
      </c>
      <c r="D46" s="0" t="s">
        <v>743</v>
      </c>
      <c r="E46" s="0" t="s">
        <v>364</v>
      </c>
      <c r="F46" s="0" t="n">
        <v>9</v>
      </c>
      <c r="G46" s="0" t="s">
        <v>553</v>
      </c>
      <c r="H46" s="0" t="s">
        <v>742</v>
      </c>
      <c r="I46" s="9" t="n">
        <f aca="false">VLOOKUP(B46,M:O,3,0)</f>
        <v>0.583333333333333</v>
      </c>
      <c r="J46" s="0" t="str">
        <f aca="false">VLOOKUP(B46,M:P,4,0)</f>
        <v>TORRE DE ROVERI VIA PAPA GIOVANNI XXIII° 6</v>
      </c>
    </row>
    <row r="47" customFormat="false" ht="12.5" hidden="false" customHeight="false" outlineLevel="0" collapsed="false">
      <c r="A47" s="12" t="n">
        <v>46060</v>
      </c>
      <c r="B47" s="0" t="s">
        <v>412</v>
      </c>
      <c r="C47" s="0" t="s">
        <v>764</v>
      </c>
      <c r="D47" s="0" t="s">
        <v>743</v>
      </c>
      <c r="E47" s="0" t="s">
        <v>388</v>
      </c>
      <c r="F47" s="0" t="n">
        <v>1</v>
      </c>
      <c r="G47" s="0" t="s">
        <v>553</v>
      </c>
      <c r="H47" s="0" t="s">
        <v>742</v>
      </c>
      <c r="I47" s="9" t="n">
        <f aca="false">VLOOKUP(B47,M:O,3,0)</f>
        <v>0.625</v>
      </c>
      <c r="J47" s="0" t="str">
        <f aca="false">VLOOKUP(B47,M:P,4,0)</f>
        <v>BONATE SOTTO VIA GIUSEPPE GARIBALDI 15</v>
      </c>
    </row>
    <row r="48" customFormat="false" ht="12.5" hidden="false" customHeight="false" outlineLevel="0" collapsed="false">
      <c r="A48" s="12" t="n">
        <v>46060</v>
      </c>
      <c r="B48" s="0" t="s">
        <v>754</v>
      </c>
      <c r="C48" s="0" t="s">
        <v>770</v>
      </c>
      <c r="D48" s="0" t="s">
        <v>743</v>
      </c>
      <c r="E48" s="0" t="s">
        <v>388</v>
      </c>
      <c r="F48" s="0" t="n">
        <v>1</v>
      </c>
      <c r="G48" s="0" t="s">
        <v>553</v>
      </c>
      <c r="H48" s="0" t="s">
        <v>742</v>
      </c>
      <c r="I48" s="9" t="n">
        <f aca="false">VLOOKUP(B48,M:O,3,0)</f>
        <v>0.604166666666667</v>
      </c>
      <c r="J48" s="0" t="str">
        <f aca="false">VLOOKUP(B48,M:P,4,0)</f>
        <v>COMUN NUOVO VIA AZZURRI 2006</v>
      </c>
    </row>
    <row r="49" customFormat="false" ht="12.5" hidden="false" customHeight="false" outlineLevel="0" collapsed="false">
      <c r="A49" s="12" t="n">
        <v>46060</v>
      </c>
      <c r="B49" s="0" t="s">
        <v>756</v>
      </c>
      <c r="C49" s="0" t="s">
        <v>772</v>
      </c>
      <c r="D49" s="0" t="s">
        <v>743</v>
      </c>
      <c r="E49" s="0" t="s">
        <v>388</v>
      </c>
      <c r="F49" s="0" t="n">
        <v>1</v>
      </c>
      <c r="G49" s="0" t="s">
        <v>553</v>
      </c>
      <c r="H49" s="0" t="s">
        <v>742</v>
      </c>
      <c r="I49" s="9" t="n">
        <f aca="false">VLOOKUP(B49,M:O,3,0)</f>
        <v>0.645833333333333</v>
      </c>
      <c r="J49" s="0" t="str">
        <f aca="false">VLOOKUP(B49,M:P,4,0)</f>
        <v>DALMINE VIA DELLE TOFANE</v>
      </c>
    </row>
    <row r="50" customFormat="false" ht="12.5" hidden="false" customHeight="false" outlineLevel="0" collapsed="false">
      <c r="A50" s="12" t="n">
        <v>46060</v>
      </c>
      <c r="B50" s="0" t="s">
        <v>758</v>
      </c>
      <c r="C50" s="0" t="s">
        <v>762</v>
      </c>
      <c r="D50" s="0" t="s">
        <v>743</v>
      </c>
      <c r="E50" s="0" t="s">
        <v>388</v>
      </c>
      <c r="F50" s="0" t="n">
        <v>1</v>
      </c>
      <c r="G50" s="0" t="s">
        <v>553</v>
      </c>
      <c r="H50" s="0" t="s">
        <v>742</v>
      </c>
      <c r="I50" s="9" t="n">
        <f aca="false">VLOOKUP(B50,M:O,3,0)</f>
        <v>0.677083333333333</v>
      </c>
      <c r="J50" s="0" t="str">
        <f aca="false">VLOOKUP(B50,M:P,4,0)</f>
        <v>CALVENZANO VIA ROMA 10</v>
      </c>
    </row>
    <row r="51" customFormat="false" ht="12.5" hidden="false" customHeight="false" outlineLevel="0" collapsed="false">
      <c r="A51" s="12" t="n">
        <v>46061</v>
      </c>
      <c r="B51" s="0" t="s">
        <v>760</v>
      </c>
      <c r="C51" s="0" t="s">
        <v>768</v>
      </c>
      <c r="D51" s="0" t="s">
        <v>743</v>
      </c>
      <c r="E51" s="0" t="s">
        <v>388</v>
      </c>
      <c r="F51" s="0" t="n">
        <v>1</v>
      </c>
      <c r="G51" s="0" t="s">
        <v>553</v>
      </c>
      <c r="H51" s="0" t="s">
        <v>742</v>
      </c>
      <c r="I51" s="9" t="n">
        <f aca="false">VLOOKUP(B51,M:O,3,0)</f>
        <v>0.416666666666667</v>
      </c>
      <c r="J51" s="0" t="str">
        <f aca="false">VLOOKUP(B51,M:P,4,0)</f>
        <v>VERDELLINO VIA DEGLI OLEANDRI 1</v>
      </c>
    </row>
    <row r="52" customFormat="false" ht="12.5" hidden="false" customHeight="false" outlineLevel="0" collapsed="false">
      <c r="A52" s="12" t="n">
        <v>46067</v>
      </c>
      <c r="B52" s="0" t="s">
        <v>762</v>
      </c>
      <c r="C52" s="0" t="s">
        <v>754</v>
      </c>
      <c r="D52" s="0" t="s">
        <v>743</v>
      </c>
      <c r="E52" s="0" t="s">
        <v>388</v>
      </c>
      <c r="F52" s="0" t="n">
        <v>2</v>
      </c>
      <c r="G52" s="0" t="s">
        <v>553</v>
      </c>
      <c r="H52" s="0" t="s">
        <v>742</v>
      </c>
      <c r="I52" s="9" t="n">
        <f aca="false">VLOOKUP(B52,M:O,3,0)</f>
        <v>0.708333333333333</v>
      </c>
      <c r="J52" s="0" t="str">
        <f aca="false">VLOOKUP(B52,M:P,4,0)</f>
        <v>BRIGNANO VIA DELL'INNOMINATO</v>
      </c>
    </row>
    <row r="53" customFormat="false" ht="12.5" hidden="false" customHeight="false" outlineLevel="0" collapsed="false">
      <c r="A53" s="12" t="n">
        <v>46067</v>
      </c>
      <c r="B53" s="0" t="s">
        <v>764</v>
      </c>
      <c r="C53" s="0" t="s">
        <v>760</v>
      </c>
      <c r="D53" s="0" t="s">
        <v>743</v>
      </c>
      <c r="E53" s="0" t="s">
        <v>388</v>
      </c>
      <c r="F53" s="0" t="n">
        <v>2</v>
      </c>
      <c r="G53" s="0" t="s">
        <v>553</v>
      </c>
      <c r="H53" s="0" t="s">
        <v>742</v>
      </c>
      <c r="I53" s="9" t="n">
        <f aca="false">VLOOKUP(B53,M:O,3,0)</f>
        <v>0.583333333333333</v>
      </c>
      <c r="J53" s="0" t="str">
        <f aca="false">VLOOKUP(B53,M:P,4,0)</f>
        <v>CAPRIATE SAN GERVASIO VIA GRIGNANO 24</v>
      </c>
    </row>
    <row r="54" customFormat="false" ht="12.5" hidden="false" customHeight="false" outlineLevel="0" collapsed="false">
      <c r="A54" s="12" t="n">
        <v>46067</v>
      </c>
      <c r="B54" s="0" t="s">
        <v>766</v>
      </c>
      <c r="C54" s="0" t="s">
        <v>758</v>
      </c>
      <c r="D54" s="0" t="s">
        <v>743</v>
      </c>
      <c r="E54" s="0" t="s">
        <v>388</v>
      </c>
      <c r="F54" s="0" t="n">
        <v>2</v>
      </c>
      <c r="G54" s="0" t="s">
        <v>553</v>
      </c>
      <c r="H54" s="0" t="s">
        <v>742</v>
      </c>
      <c r="I54" s="9" t="n">
        <f aca="false">VLOOKUP(B54,M:O,3,0)</f>
        <v>0.59375</v>
      </c>
      <c r="J54" s="0" t="str">
        <f aca="false">VLOOKUP(B54,M:P,4,0)</f>
        <v>ARCENE VIA SAN GIOVANNI BOSCO N.8</v>
      </c>
    </row>
    <row r="55" customFormat="false" ht="12.5" hidden="false" customHeight="false" outlineLevel="0" collapsed="false">
      <c r="A55" s="12" t="n">
        <v>46067</v>
      </c>
      <c r="B55" s="0" t="s">
        <v>768</v>
      </c>
      <c r="C55" s="0" t="s">
        <v>756</v>
      </c>
      <c r="D55" s="0" t="s">
        <v>743</v>
      </c>
      <c r="E55" s="0" t="s">
        <v>388</v>
      </c>
      <c r="F55" s="0" t="n">
        <v>2</v>
      </c>
      <c r="G55" s="0" t="s">
        <v>553</v>
      </c>
      <c r="H55" s="0" t="s">
        <v>742</v>
      </c>
      <c r="I55" s="9" t="n">
        <f aca="false">VLOOKUP(B55,M:O,3,0)</f>
        <v>0.625</v>
      </c>
      <c r="J55" s="0" t="str">
        <f aca="false">VLOOKUP(B55,M:P,4,0)</f>
        <v>ARCENE VIA GIUSEPPE VERDI SNC</v>
      </c>
    </row>
    <row r="56" customFormat="false" ht="12.5" hidden="false" customHeight="false" outlineLevel="0" collapsed="false">
      <c r="A56" s="12" t="n">
        <v>46067</v>
      </c>
      <c r="B56" s="0" t="s">
        <v>770</v>
      </c>
      <c r="C56" s="0" t="s">
        <v>412</v>
      </c>
      <c r="D56" s="0" t="s">
        <v>743</v>
      </c>
      <c r="E56" s="0" t="s">
        <v>388</v>
      </c>
      <c r="F56" s="0" t="n">
        <v>2</v>
      </c>
      <c r="G56" s="0" t="s">
        <v>553</v>
      </c>
      <c r="H56" s="0" t="s">
        <v>742</v>
      </c>
      <c r="I56" s="9" t="n">
        <f aca="false">VLOOKUP(B56,M:O,3,0)</f>
        <v>0.604166666666667</v>
      </c>
      <c r="J56" s="0" t="str">
        <f aca="false">VLOOKUP(B56,M:P,4,0)</f>
        <v>PAGAZZANO VIA MALDOSSO S.N.C.</v>
      </c>
    </row>
    <row r="57" customFormat="false" ht="12.5" hidden="false" customHeight="false" outlineLevel="0" collapsed="false">
      <c r="A57" s="12" t="n">
        <v>46074</v>
      </c>
      <c r="B57" s="0" t="s">
        <v>412</v>
      </c>
      <c r="C57" s="0" t="s">
        <v>762</v>
      </c>
      <c r="D57" s="0" t="s">
        <v>743</v>
      </c>
      <c r="E57" s="0" t="s">
        <v>388</v>
      </c>
      <c r="F57" s="0" t="n">
        <v>3</v>
      </c>
      <c r="G57" s="0" t="s">
        <v>553</v>
      </c>
      <c r="H57" s="0" t="s">
        <v>742</v>
      </c>
      <c r="I57" s="9" t="n">
        <f aca="false">VLOOKUP(B57,M:O,3,0)</f>
        <v>0.625</v>
      </c>
      <c r="J57" s="0" t="str">
        <f aca="false">VLOOKUP(B57,M:P,4,0)</f>
        <v>BONATE SOTTO VIA GIUSEPPE GARIBALDI 15</v>
      </c>
    </row>
    <row r="58" customFormat="false" ht="12.5" hidden="false" customHeight="false" outlineLevel="0" collapsed="false">
      <c r="A58" s="12" t="n">
        <v>46074</v>
      </c>
      <c r="B58" s="0" t="s">
        <v>764</v>
      </c>
      <c r="C58" s="0" t="s">
        <v>768</v>
      </c>
      <c r="D58" s="0" t="s">
        <v>743</v>
      </c>
      <c r="E58" s="0" t="s">
        <v>388</v>
      </c>
      <c r="F58" s="0" t="n">
        <v>3</v>
      </c>
      <c r="G58" s="0" t="s">
        <v>553</v>
      </c>
      <c r="H58" s="0" t="s">
        <v>742</v>
      </c>
      <c r="I58" s="9" t="n">
        <f aca="false">VLOOKUP(B58,M:O,3,0)</f>
        <v>0.583333333333333</v>
      </c>
      <c r="J58" s="0" t="str">
        <f aca="false">VLOOKUP(B58,M:P,4,0)</f>
        <v>CAPRIATE SAN GERVASIO VIA GRIGNANO 24</v>
      </c>
    </row>
    <row r="59" customFormat="false" ht="12.5" hidden="false" customHeight="false" outlineLevel="0" collapsed="false">
      <c r="A59" s="12" t="n">
        <v>46074</v>
      </c>
      <c r="B59" s="0" t="s">
        <v>754</v>
      </c>
      <c r="C59" s="0" t="s">
        <v>766</v>
      </c>
      <c r="D59" s="0" t="s">
        <v>743</v>
      </c>
      <c r="E59" s="0" t="s">
        <v>388</v>
      </c>
      <c r="F59" s="0" t="n">
        <v>3</v>
      </c>
      <c r="G59" s="0" t="s">
        <v>553</v>
      </c>
      <c r="H59" s="0" t="s">
        <v>742</v>
      </c>
      <c r="I59" s="9" t="n">
        <f aca="false">VLOOKUP(B59,M:O,3,0)</f>
        <v>0.604166666666667</v>
      </c>
      <c r="J59" s="0" t="str">
        <f aca="false">VLOOKUP(B59,M:P,4,0)</f>
        <v>COMUN NUOVO VIA AZZURRI 2006</v>
      </c>
    </row>
    <row r="60" customFormat="false" ht="12.5" hidden="false" customHeight="false" outlineLevel="0" collapsed="false">
      <c r="A60" s="12" t="n">
        <v>46074</v>
      </c>
      <c r="B60" s="0" t="s">
        <v>758</v>
      </c>
      <c r="C60" s="0" t="s">
        <v>772</v>
      </c>
      <c r="D60" s="0" t="s">
        <v>743</v>
      </c>
      <c r="E60" s="0" t="s">
        <v>388</v>
      </c>
      <c r="F60" s="0" t="n">
        <v>3</v>
      </c>
      <c r="G60" s="0" t="s">
        <v>553</v>
      </c>
      <c r="H60" s="0" t="s">
        <v>742</v>
      </c>
      <c r="I60" s="9" t="n">
        <f aca="false">VLOOKUP(B60,M:O,3,0)</f>
        <v>0.677083333333333</v>
      </c>
      <c r="J60" s="0" t="str">
        <f aca="false">VLOOKUP(B60,M:P,4,0)</f>
        <v>CALVENZANO VIA ROMA 10</v>
      </c>
    </row>
    <row r="61" customFormat="false" ht="12.5" hidden="false" customHeight="false" outlineLevel="0" collapsed="false">
      <c r="A61" s="12" t="n">
        <v>46075</v>
      </c>
      <c r="B61" s="0" t="s">
        <v>760</v>
      </c>
      <c r="C61" s="0" t="s">
        <v>770</v>
      </c>
      <c r="D61" s="0" t="s">
        <v>743</v>
      </c>
      <c r="E61" s="0" t="s">
        <v>388</v>
      </c>
      <c r="F61" s="0" t="n">
        <v>3</v>
      </c>
      <c r="G61" s="0" t="s">
        <v>553</v>
      </c>
      <c r="H61" s="0" t="s">
        <v>742</v>
      </c>
      <c r="I61" s="9" t="n">
        <f aca="false">VLOOKUP(B61,M:O,3,0)</f>
        <v>0.416666666666667</v>
      </c>
      <c r="J61" s="0" t="str">
        <f aca="false">VLOOKUP(B61,M:P,4,0)</f>
        <v>VERDELLINO VIA DEGLI OLEANDRI 1</v>
      </c>
    </row>
    <row r="62" customFormat="false" ht="12.5" hidden="false" customHeight="false" outlineLevel="0" collapsed="false">
      <c r="A62" s="12" t="n">
        <v>46081</v>
      </c>
      <c r="B62" s="0" t="s">
        <v>762</v>
      </c>
      <c r="C62" s="0" t="s">
        <v>760</v>
      </c>
      <c r="D62" s="0" t="s">
        <v>743</v>
      </c>
      <c r="E62" s="0" t="s">
        <v>388</v>
      </c>
      <c r="F62" s="0" t="n">
        <v>4</v>
      </c>
      <c r="G62" s="0" t="s">
        <v>553</v>
      </c>
      <c r="H62" s="0" t="s">
        <v>742</v>
      </c>
      <c r="I62" s="9" t="n">
        <f aca="false">VLOOKUP(B62,M:O,3,0)</f>
        <v>0.708333333333333</v>
      </c>
      <c r="J62" s="0" t="str">
        <f aca="false">VLOOKUP(B62,M:P,4,0)</f>
        <v>BRIGNANO VIA DELL'INNOMINATO</v>
      </c>
    </row>
    <row r="63" customFormat="false" ht="12.5" hidden="false" customHeight="false" outlineLevel="0" collapsed="false">
      <c r="A63" s="12" t="n">
        <v>46082</v>
      </c>
      <c r="B63" s="0" t="s">
        <v>772</v>
      </c>
      <c r="C63" s="0" t="s">
        <v>754</v>
      </c>
      <c r="D63" s="0" t="s">
        <v>743</v>
      </c>
      <c r="E63" s="0" t="s">
        <v>388</v>
      </c>
      <c r="F63" s="0" t="n">
        <v>4</v>
      </c>
      <c r="G63" s="0" t="s">
        <v>553</v>
      </c>
      <c r="H63" s="0" t="s">
        <v>742</v>
      </c>
      <c r="I63" s="9" t="n">
        <f aca="false">VLOOKUP(B63,M:O,3,0)</f>
        <v>0.395833333333333</v>
      </c>
      <c r="J63" s="0" t="str">
        <f aca="false">VLOOKUP(B63,M:P,4,0)</f>
        <v>BOTTANUCO VIA JOHN FITZGERALD KENNEDY 8</v>
      </c>
    </row>
    <row r="64" customFormat="false" ht="12.5" hidden="false" customHeight="false" outlineLevel="0" collapsed="false">
      <c r="A64" s="12" t="n">
        <v>46081</v>
      </c>
      <c r="B64" s="0" t="s">
        <v>756</v>
      </c>
      <c r="C64" s="0" t="s">
        <v>758</v>
      </c>
      <c r="D64" s="0" t="s">
        <v>743</v>
      </c>
      <c r="E64" s="0" t="s">
        <v>388</v>
      </c>
      <c r="F64" s="0" t="n">
        <v>4</v>
      </c>
      <c r="G64" s="0" t="s">
        <v>553</v>
      </c>
      <c r="H64" s="0" t="s">
        <v>742</v>
      </c>
      <c r="I64" s="9" t="n">
        <f aca="false">VLOOKUP(B64,M:O,3,0)</f>
        <v>0.645833333333333</v>
      </c>
      <c r="J64" s="0" t="str">
        <f aca="false">VLOOKUP(B64,M:P,4,0)</f>
        <v>DALMINE VIA DELLE TOFANE</v>
      </c>
    </row>
    <row r="65" customFormat="false" ht="12.5" hidden="false" customHeight="false" outlineLevel="0" collapsed="false">
      <c r="A65" s="12" t="n">
        <v>46081</v>
      </c>
      <c r="B65" s="0" t="s">
        <v>766</v>
      </c>
      <c r="C65" s="0" t="s">
        <v>412</v>
      </c>
      <c r="D65" s="0" t="s">
        <v>743</v>
      </c>
      <c r="E65" s="0" t="s">
        <v>388</v>
      </c>
      <c r="F65" s="0" t="n">
        <v>4</v>
      </c>
      <c r="G65" s="0" t="s">
        <v>553</v>
      </c>
      <c r="H65" s="0" t="s">
        <v>742</v>
      </c>
      <c r="I65" s="9" t="n">
        <f aca="false">VLOOKUP(B65,M:O,3,0)</f>
        <v>0.59375</v>
      </c>
      <c r="J65" s="0" t="str">
        <f aca="false">VLOOKUP(B65,M:P,4,0)</f>
        <v>ARCENE VIA SAN GIOVANNI BOSCO N.8</v>
      </c>
    </row>
    <row r="66" customFormat="false" ht="12.5" hidden="false" customHeight="false" outlineLevel="0" collapsed="false">
      <c r="A66" s="12" t="n">
        <v>46081</v>
      </c>
      <c r="B66" s="0" t="s">
        <v>770</v>
      </c>
      <c r="C66" s="0" t="s">
        <v>764</v>
      </c>
      <c r="D66" s="0" t="s">
        <v>743</v>
      </c>
      <c r="E66" s="0" t="s">
        <v>388</v>
      </c>
      <c r="F66" s="0" t="n">
        <v>4</v>
      </c>
      <c r="G66" s="0" t="s">
        <v>553</v>
      </c>
      <c r="H66" s="0" t="s">
        <v>742</v>
      </c>
      <c r="I66" s="9" t="n">
        <f aca="false">VLOOKUP(B66,M:O,3,0)</f>
        <v>0.604166666666667</v>
      </c>
      <c r="J66" s="0" t="str">
        <f aca="false">VLOOKUP(B66,M:P,4,0)</f>
        <v>PAGAZZANO VIA MALDOSSO S.N.C.</v>
      </c>
    </row>
    <row r="67" customFormat="false" ht="12.5" hidden="false" customHeight="false" outlineLevel="0" collapsed="false">
      <c r="A67" s="12" t="n">
        <v>46088</v>
      </c>
      <c r="B67" s="0" t="s">
        <v>412</v>
      </c>
      <c r="C67" s="0" t="s">
        <v>772</v>
      </c>
      <c r="D67" s="0" t="s">
        <v>743</v>
      </c>
      <c r="E67" s="0" t="s">
        <v>388</v>
      </c>
      <c r="F67" s="0" t="n">
        <v>5</v>
      </c>
      <c r="G67" s="0" t="s">
        <v>553</v>
      </c>
      <c r="H67" s="0" t="s">
        <v>742</v>
      </c>
      <c r="I67" s="9" t="n">
        <f aca="false">VLOOKUP(B67,M:O,3,0)</f>
        <v>0.625</v>
      </c>
      <c r="J67" s="0" t="str">
        <f aca="false">VLOOKUP(B67,M:P,4,0)</f>
        <v>BONATE SOTTO VIA GIUSEPPE GARIBALDI 15</v>
      </c>
    </row>
    <row r="68" customFormat="false" ht="12.5" hidden="false" customHeight="false" outlineLevel="0" collapsed="false">
      <c r="A68" s="12" t="n">
        <v>46088</v>
      </c>
      <c r="B68" s="0" t="s">
        <v>764</v>
      </c>
      <c r="C68" s="0" t="s">
        <v>762</v>
      </c>
      <c r="D68" s="0" t="s">
        <v>743</v>
      </c>
      <c r="E68" s="0" t="s">
        <v>388</v>
      </c>
      <c r="F68" s="0" t="n">
        <v>5</v>
      </c>
      <c r="G68" s="0" t="s">
        <v>553</v>
      </c>
      <c r="H68" s="0" t="s">
        <v>742</v>
      </c>
      <c r="I68" s="9" t="n">
        <f aca="false">VLOOKUP(B68,M:O,3,0)</f>
        <v>0.583333333333333</v>
      </c>
      <c r="J68" s="0" t="str">
        <f aca="false">VLOOKUP(B68,M:P,4,0)</f>
        <v>CAPRIATE SAN GERVASIO VIA GRIGNANO 24</v>
      </c>
    </row>
    <row r="69" customFormat="false" ht="12.5" hidden="false" customHeight="false" outlineLevel="0" collapsed="false">
      <c r="A69" s="12" t="n">
        <v>46088</v>
      </c>
      <c r="B69" s="0" t="s">
        <v>754</v>
      </c>
      <c r="C69" s="0" t="s">
        <v>756</v>
      </c>
      <c r="D69" s="0" t="s">
        <v>743</v>
      </c>
      <c r="E69" s="0" t="s">
        <v>388</v>
      </c>
      <c r="F69" s="0" t="n">
        <v>5</v>
      </c>
      <c r="G69" s="0" t="s">
        <v>553</v>
      </c>
      <c r="H69" s="0" t="s">
        <v>742</v>
      </c>
      <c r="I69" s="9" t="n">
        <f aca="false">VLOOKUP(B69,M:O,3,0)</f>
        <v>0.604166666666667</v>
      </c>
      <c r="J69" s="0" t="str">
        <f aca="false">VLOOKUP(B69,M:P,4,0)</f>
        <v>COMUN NUOVO VIA AZZURRI 2006</v>
      </c>
    </row>
    <row r="70" customFormat="false" ht="12.5" hidden="false" customHeight="false" outlineLevel="0" collapsed="false">
      <c r="A70" s="12" t="n">
        <v>46088</v>
      </c>
      <c r="B70" s="0" t="s">
        <v>770</v>
      </c>
      <c r="C70" s="0" t="s">
        <v>768</v>
      </c>
      <c r="D70" s="0" t="s">
        <v>743</v>
      </c>
      <c r="E70" s="0" t="s">
        <v>388</v>
      </c>
      <c r="F70" s="0" t="n">
        <v>5</v>
      </c>
      <c r="G70" s="0" t="s">
        <v>553</v>
      </c>
      <c r="H70" s="0" t="s">
        <v>742</v>
      </c>
      <c r="I70" s="9" t="n">
        <f aca="false">VLOOKUP(B70,M:O,3,0)</f>
        <v>0.604166666666667</v>
      </c>
      <c r="J70" s="0" t="str">
        <f aca="false">VLOOKUP(B70,M:P,4,0)</f>
        <v>PAGAZZANO VIA MALDOSSO S.N.C.</v>
      </c>
    </row>
    <row r="71" customFormat="false" ht="12.5" hidden="false" customHeight="false" outlineLevel="0" collapsed="false">
      <c r="A71" s="12" t="n">
        <v>46089</v>
      </c>
      <c r="B71" s="0" t="s">
        <v>760</v>
      </c>
      <c r="C71" s="0" t="s">
        <v>766</v>
      </c>
      <c r="D71" s="0" t="s">
        <v>743</v>
      </c>
      <c r="E71" s="0" t="s">
        <v>388</v>
      </c>
      <c r="F71" s="0" t="n">
        <v>5</v>
      </c>
      <c r="G71" s="0" t="s">
        <v>553</v>
      </c>
      <c r="H71" s="0" t="s">
        <v>742</v>
      </c>
      <c r="I71" s="9" t="n">
        <f aca="false">VLOOKUP(B71,M:O,3,0)</f>
        <v>0.416666666666667</v>
      </c>
      <c r="J71" s="0" t="str">
        <f aca="false">VLOOKUP(B71,M:P,4,0)</f>
        <v>VERDELLINO VIA DEGLI OLEANDRI 1</v>
      </c>
    </row>
    <row r="72" customFormat="false" ht="12.5" hidden="false" customHeight="false" outlineLevel="0" collapsed="false">
      <c r="A72" s="12" t="n">
        <v>46095</v>
      </c>
      <c r="B72" s="0" t="s">
        <v>762</v>
      </c>
      <c r="C72" s="0" t="s">
        <v>770</v>
      </c>
      <c r="D72" s="0" t="s">
        <v>743</v>
      </c>
      <c r="E72" s="0" t="s">
        <v>388</v>
      </c>
      <c r="F72" s="0" t="n">
        <v>6</v>
      </c>
      <c r="G72" s="0" t="s">
        <v>553</v>
      </c>
      <c r="H72" s="0" t="s">
        <v>742</v>
      </c>
      <c r="I72" s="9" t="n">
        <f aca="false">VLOOKUP(B72,M:O,3,0)</f>
        <v>0.708333333333333</v>
      </c>
      <c r="J72" s="0" t="str">
        <f aca="false">VLOOKUP(B72,M:P,4,0)</f>
        <v>BRIGNANO VIA DELL'INNOMINATO</v>
      </c>
    </row>
    <row r="73" customFormat="false" ht="12.5" hidden="false" customHeight="false" outlineLevel="0" collapsed="false">
      <c r="A73" s="12" t="n">
        <v>46096</v>
      </c>
      <c r="B73" s="0" t="s">
        <v>772</v>
      </c>
      <c r="C73" s="0" t="s">
        <v>760</v>
      </c>
      <c r="D73" s="0" t="s">
        <v>743</v>
      </c>
      <c r="E73" s="0" t="s">
        <v>388</v>
      </c>
      <c r="F73" s="0" t="n">
        <v>6</v>
      </c>
      <c r="G73" s="0" t="s">
        <v>553</v>
      </c>
      <c r="H73" s="0" t="s">
        <v>742</v>
      </c>
      <c r="I73" s="9" t="n">
        <f aca="false">VLOOKUP(B73,M:O,3,0)</f>
        <v>0.395833333333333</v>
      </c>
      <c r="J73" s="0" t="str">
        <f aca="false">VLOOKUP(B73,M:P,4,0)</f>
        <v>BOTTANUCO VIA JOHN FITZGERALD KENNEDY 8</v>
      </c>
    </row>
    <row r="74" customFormat="false" ht="12.5" hidden="false" customHeight="false" outlineLevel="0" collapsed="false">
      <c r="A74" s="12" t="n">
        <v>46095</v>
      </c>
      <c r="B74" s="0" t="s">
        <v>756</v>
      </c>
      <c r="C74" s="0" t="s">
        <v>412</v>
      </c>
      <c r="D74" s="0" t="s">
        <v>743</v>
      </c>
      <c r="E74" s="0" t="s">
        <v>388</v>
      </c>
      <c r="F74" s="0" t="n">
        <v>6</v>
      </c>
      <c r="G74" s="0" t="s">
        <v>553</v>
      </c>
      <c r="H74" s="0" t="s">
        <v>742</v>
      </c>
      <c r="I74" s="9" t="n">
        <f aca="false">VLOOKUP(B74,M:O,3,0)</f>
        <v>0.645833333333333</v>
      </c>
      <c r="J74" s="0" t="str">
        <f aca="false">VLOOKUP(B74,M:P,4,0)</f>
        <v>DALMINE VIA DELLE TOFANE</v>
      </c>
    </row>
    <row r="75" customFormat="false" ht="12.5" hidden="false" customHeight="false" outlineLevel="0" collapsed="false">
      <c r="A75" s="12" t="n">
        <v>46095</v>
      </c>
      <c r="B75" s="0" t="s">
        <v>766</v>
      </c>
      <c r="C75" s="0" t="s">
        <v>764</v>
      </c>
      <c r="D75" s="0" t="s">
        <v>743</v>
      </c>
      <c r="E75" s="0" t="s">
        <v>388</v>
      </c>
      <c r="F75" s="0" t="n">
        <v>6</v>
      </c>
      <c r="G75" s="0" t="s">
        <v>553</v>
      </c>
      <c r="H75" s="0" t="s">
        <v>742</v>
      </c>
      <c r="I75" s="9" t="n">
        <f aca="false">VLOOKUP(B75,M:O,3,0)</f>
        <v>0.59375</v>
      </c>
      <c r="J75" s="0" t="str">
        <f aca="false">VLOOKUP(B75,M:P,4,0)</f>
        <v>ARCENE VIA SAN GIOVANNI BOSCO N.8</v>
      </c>
    </row>
    <row r="76" customFormat="false" ht="12.5" hidden="false" customHeight="false" outlineLevel="0" collapsed="false">
      <c r="A76" s="12" t="n">
        <v>46095</v>
      </c>
      <c r="B76" s="0" t="s">
        <v>768</v>
      </c>
      <c r="C76" s="0" t="s">
        <v>758</v>
      </c>
      <c r="D76" s="0" t="s">
        <v>743</v>
      </c>
      <c r="E76" s="0" t="s">
        <v>388</v>
      </c>
      <c r="F76" s="0" t="n">
        <v>6</v>
      </c>
      <c r="G76" s="0" t="s">
        <v>553</v>
      </c>
      <c r="H76" s="0" t="s">
        <v>742</v>
      </c>
      <c r="I76" s="9" t="n">
        <f aca="false">VLOOKUP(B76,M:O,3,0)</f>
        <v>0.625</v>
      </c>
      <c r="J76" s="0" t="str">
        <f aca="false">VLOOKUP(B76,M:P,4,0)</f>
        <v>ARCENE VIA GIUSEPPE VERDI SNC</v>
      </c>
    </row>
    <row r="77" customFormat="false" ht="12.5" hidden="false" customHeight="false" outlineLevel="0" collapsed="false">
      <c r="A77" s="12" t="n">
        <v>46102</v>
      </c>
      <c r="B77" s="0" t="s">
        <v>762</v>
      </c>
      <c r="C77" s="0" t="s">
        <v>768</v>
      </c>
      <c r="D77" s="0" t="s">
        <v>743</v>
      </c>
      <c r="E77" s="0" t="s">
        <v>388</v>
      </c>
      <c r="F77" s="0" t="n">
        <v>7</v>
      </c>
      <c r="G77" s="0" t="s">
        <v>553</v>
      </c>
      <c r="H77" s="0" t="s">
        <v>742</v>
      </c>
      <c r="I77" s="9" t="n">
        <f aca="false">VLOOKUP(B77,M:O,3,0)</f>
        <v>0.708333333333333</v>
      </c>
      <c r="J77" s="0" t="str">
        <f aca="false">VLOOKUP(B77,M:P,4,0)</f>
        <v>BRIGNANO VIA DELL'INNOMINATO</v>
      </c>
    </row>
    <row r="78" customFormat="false" ht="12.5" hidden="false" customHeight="false" outlineLevel="0" collapsed="false">
      <c r="A78" s="12" t="n">
        <v>46102</v>
      </c>
      <c r="B78" s="0" t="s">
        <v>764</v>
      </c>
      <c r="C78" s="0" t="s">
        <v>772</v>
      </c>
      <c r="D78" s="0" t="s">
        <v>743</v>
      </c>
      <c r="E78" s="0" t="s">
        <v>388</v>
      </c>
      <c r="F78" s="0" t="n">
        <v>7</v>
      </c>
      <c r="G78" s="0" t="s">
        <v>553</v>
      </c>
      <c r="H78" s="0" t="s">
        <v>742</v>
      </c>
      <c r="I78" s="9" t="n">
        <f aca="false">VLOOKUP(B78,M:O,3,0)</f>
        <v>0.583333333333333</v>
      </c>
      <c r="J78" s="0" t="str">
        <f aca="false">VLOOKUP(B78,M:P,4,0)</f>
        <v>CAPRIATE SAN GERVASIO VIA GRIGNANO 24</v>
      </c>
    </row>
    <row r="79" customFormat="false" ht="12.5" hidden="false" customHeight="false" outlineLevel="0" collapsed="false">
      <c r="A79" s="12" t="n">
        <v>46102</v>
      </c>
      <c r="B79" s="0" t="s">
        <v>754</v>
      </c>
      <c r="C79" s="0" t="s">
        <v>758</v>
      </c>
      <c r="D79" s="0" t="s">
        <v>743</v>
      </c>
      <c r="E79" s="0" t="s">
        <v>388</v>
      </c>
      <c r="F79" s="0" t="n">
        <v>7</v>
      </c>
      <c r="G79" s="0" t="s">
        <v>553</v>
      </c>
      <c r="H79" s="0" t="s">
        <v>742</v>
      </c>
      <c r="I79" s="9" t="n">
        <f aca="false">VLOOKUP(B79,M:O,3,0)</f>
        <v>0.604166666666667</v>
      </c>
      <c r="J79" s="0" t="str">
        <f aca="false">VLOOKUP(B79,M:P,4,0)</f>
        <v>COMUN NUOVO VIA AZZURRI 2006</v>
      </c>
    </row>
    <row r="80" customFormat="false" ht="12.5" hidden="false" customHeight="false" outlineLevel="0" collapsed="false">
      <c r="A80" s="12" t="n">
        <v>46102</v>
      </c>
      <c r="B80" s="0" t="s">
        <v>770</v>
      </c>
      <c r="C80" s="0" t="s">
        <v>766</v>
      </c>
      <c r="D80" s="0" t="s">
        <v>743</v>
      </c>
      <c r="E80" s="0" t="s">
        <v>388</v>
      </c>
      <c r="F80" s="0" t="n">
        <v>7</v>
      </c>
      <c r="G80" s="0" t="s">
        <v>553</v>
      </c>
      <c r="H80" s="0" t="s">
        <v>742</v>
      </c>
      <c r="I80" s="9" t="n">
        <f aca="false">VLOOKUP(B80,M:O,3,0)</f>
        <v>0.604166666666667</v>
      </c>
      <c r="J80" s="0" t="str">
        <f aca="false">VLOOKUP(B80,M:P,4,0)</f>
        <v>PAGAZZANO VIA MALDOSSO S.N.C.</v>
      </c>
    </row>
    <row r="81" customFormat="false" ht="12.5" hidden="false" customHeight="false" outlineLevel="0" collapsed="false">
      <c r="A81" s="12" t="n">
        <v>46103</v>
      </c>
      <c r="B81" s="0" t="s">
        <v>760</v>
      </c>
      <c r="C81" s="0" t="s">
        <v>756</v>
      </c>
      <c r="D81" s="0" t="s">
        <v>743</v>
      </c>
      <c r="E81" s="0" t="s">
        <v>388</v>
      </c>
      <c r="F81" s="0" t="n">
        <v>7</v>
      </c>
      <c r="G81" s="0" t="s">
        <v>553</v>
      </c>
      <c r="H81" s="0" t="s">
        <v>742</v>
      </c>
      <c r="I81" s="9" t="n">
        <f aca="false">VLOOKUP(B81,M:O,3,0)</f>
        <v>0.416666666666667</v>
      </c>
      <c r="J81" s="0" t="str">
        <f aca="false">VLOOKUP(B81,M:P,4,0)</f>
        <v>VERDELLINO VIA DEGLI OLEANDRI 1</v>
      </c>
    </row>
    <row r="82" customFormat="false" ht="12.5" hidden="false" customHeight="false" outlineLevel="0" collapsed="false">
      <c r="A82" s="12" t="n">
        <v>46110</v>
      </c>
      <c r="B82" s="0" t="s">
        <v>772</v>
      </c>
      <c r="C82" s="0" t="s">
        <v>770</v>
      </c>
      <c r="D82" s="0" t="s">
        <v>743</v>
      </c>
      <c r="E82" s="0" t="s">
        <v>388</v>
      </c>
      <c r="F82" s="0" t="n">
        <v>8</v>
      </c>
      <c r="G82" s="0" t="s">
        <v>553</v>
      </c>
      <c r="H82" s="0" t="s">
        <v>742</v>
      </c>
      <c r="I82" s="9" t="n">
        <f aca="false">VLOOKUP(B82,M:O,3,0)</f>
        <v>0.395833333333333</v>
      </c>
      <c r="J82" s="0" t="str">
        <f aca="false">VLOOKUP(B82,M:P,4,0)</f>
        <v>BOTTANUCO VIA JOHN FITZGERALD KENNEDY 8</v>
      </c>
    </row>
    <row r="83" customFormat="false" ht="12.5" hidden="false" customHeight="false" outlineLevel="0" collapsed="false">
      <c r="A83" s="12" t="n">
        <v>46109</v>
      </c>
      <c r="B83" s="0" t="s">
        <v>756</v>
      </c>
      <c r="C83" s="0" t="s">
        <v>764</v>
      </c>
      <c r="D83" s="0" t="s">
        <v>743</v>
      </c>
      <c r="E83" s="0" t="s">
        <v>388</v>
      </c>
      <c r="F83" s="0" t="n">
        <v>8</v>
      </c>
      <c r="G83" s="0" t="s">
        <v>553</v>
      </c>
      <c r="H83" s="0" t="s">
        <v>742</v>
      </c>
      <c r="I83" s="9" t="n">
        <f aca="false">VLOOKUP(B83,M:O,3,0)</f>
        <v>0.645833333333333</v>
      </c>
      <c r="J83" s="0" t="str">
        <f aca="false">VLOOKUP(B83,M:P,4,0)</f>
        <v>DALMINE VIA DELLE TOFANE</v>
      </c>
    </row>
    <row r="84" customFormat="false" ht="12.5" hidden="false" customHeight="false" outlineLevel="0" collapsed="false">
      <c r="A84" s="12" t="n">
        <v>46109</v>
      </c>
      <c r="B84" s="0" t="s">
        <v>766</v>
      </c>
      <c r="C84" s="0" t="s">
        <v>762</v>
      </c>
      <c r="D84" s="0" t="s">
        <v>743</v>
      </c>
      <c r="E84" s="0" t="s">
        <v>388</v>
      </c>
      <c r="F84" s="0" t="n">
        <v>8</v>
      </c>
      <c r="G84" s="0" t="s">
        <v>553</v>
      </c>
      <c r="H84" s="0" t="s">
        <v>742</v>
      </c>
      <c r="I84" s="9" t="n">
        <f aca="false">VLOOKUP(B84,M:O,3,0)</f>
        <v>0.59375</v>
      </c>
      <c r="J84" s="0" t="str">
        <f aca="false">VLOOKUP(B84,M:P,4,0)</f>
        <v>ARCENE VIA SAN GIOVANNI BOSCO N.8</v>
      </c>
    </row>
    <row r="85" customFormat="false" ht="12.5" hidden="false" customHeight="false" outlineLevel="0" collapsed="false">
      <c r="A85" s="12" t="n">
        <v>46109</v>
      </c>
      <c r="B85" s="0" t="s">
        <v>758</v>
      </c>
      <c r="C85" s="0" t="s">
        <v>412</v>
      </c>
      <c r="D85" s="0" t="s">
        <v>743</v>
      </c>
      <c r="E85" s="0" t="s">
        <v>388</v>
      </c>
      <c r="F85" s="0" t="n">
        <v>8</v>
      </c>
      <c r="G85" s="0" t="s">
        <v>553</v>
      </c>
      <c r="H85" s="0" t="s">
        <v>742</v>
      </c>
      <c r="I85" s="9" t="n">
        <f aca="false">VLOOKUP(B85,M:O,3,0)</f>
        <v>0.677083333333333</v>
      </c>
      <c r="J85" s="0" t="str">
        <f aca="false">VLOOKUP(B85,M:P,4,0)</f>
        <v>CALVENZANO VIA ROMA 10</v>
      </c>
    </row>
    <row r="86" customFormat="false" ht="12.5" hidden="false" customHeight="false" outlineLevel="0" collapsed="false">
      <c r="A86" s="12" t="n">
        <v>46109</v>
      </c>
      <c r="B86" s="0" t="s">
        <v>768</v>
      </c>
      <c r="C86" s="0" t="s">
        <v>754</v>
      </c>
      <c r="D86" s="0" t="s">
        <v>743</v>
      </c>
      <c r="E86" s="0" t="s">
        <v>388</v>
      </c>
      <c r="F86" s="0" t="n">
        <v>8</v>
      </c>
      <c r="G86" s="0" t="s">
        <v>553</v>
      </c>
      <c r="H86" s="0" t="s">
        <v>742</v>
      </c>
      <c r="I86" s="9" t="n">
        <f aca="false">VLOOKUP(B86,M:O,3,0)</f>
        <v>0.625</v>
      </c>
      <c r="J86" s="0" t="str">
        <f aca="false">VLOOKUP(B86,M:P,4,0)</f>
        <v>ARCENE VIA GIUSEPPE VERDI SNC</v>
      </c>
    </row>
    <row r="87" customFormat="false" ht="12.5" hidden="false" customHeight="false" outlineLevel="0" collapsed="false">
      <c r="A87" s="12" t="n">
        <v>46123</v>
      </c>
      <c r="B87" s="0" t="s">
        <v>412</v>
      </c>
      <c r="C87" s="0" t="s">
        <v>754</v>
      </c>
      <c r="D87" s="0" t="s">
        <v>743</v>
      </c>
      <c r="E87" s="0" t="s">
        <v>388</v>
      </c>
      <c r="F87" s="0" t="n">
        <v>9</v>
      </c>
      <c r="G87" s="0" t="s">
        <v>553</v>
      </c>
      <c r="H87" s="0" t="s">
        <v>742</v>
      </c>
      <c r="I87" s="9" t="n">
        <f aca="false">VLOOKUP(B87,M:O,3,0)</f>
        <v>0.625</v>
      </c>
      <c r="J87" s="0" t="str">
        <f aca="false">VLOOKUP(B87,M:P,4,0)</f>
        <v>BONATE SOTTO VIA GIUSEPPE GARIBALDI 15</v>
      </c>
    </row>
    <row r="88" customFormat="false" ht="12.5" hidden="false" customHeight="false" outlineLevel="0" collapsed="false">
      <c r="A88" s="12" t="n">
        <v>46123</v>
      </c>
      <c r="B88" s="0" t="s">
        <v>762</v>
      </c>
      <c r="C88" s="0" t="s">
        <v>772</v>
      </c>
      <c r="D88" s="0" t="s">
        <v>743</v>
      </c>
      <c r="E88" s="0" t="s">
        <v>388</v>
      </c>
      <c r="F88" s="0" t="n">
        <v>9</v>
      </c>
      <c r="G88" s="0" t="s">
        <v>553</v>
      </c>
      <c r="H88" s="0" t="s">
        <v>742</v>
      </c>
      <c r="I88" s="9" t="n">
        <f aca="false">VLOOKUP(B88,M:O,3,0)</f>
        <v>0.708333333333333</v>
      </c>
      <c r="J88" s="0" t="str">
        <f aca="false">VLOOKUP(B88,M:P,4,0)</f>
        <v>BRIGNANO VIA DELL'INNOMINATO</v>
      </c>
    </row>
    <row r="89" customFormat="false" ht="12.5" hidden="false" customHeight="false" outlineLevel="0" collapsed="false">
      <c r="A89" s="12" t="n">
        <v>46123</v>
      </c>
      <c r="B89" s="0" t="s">
        <v>766</v>
      </c>
      <c r="C89" s="0" t="s">
        <v>768</v>
      </c>
      <c r="D89" s="0" t="s">
        <v>743</v>
      </c>
      <c r="E89" s="0" t="s">
        <v>388</v>
      </c>
      <c r="F89" s="0" t="n">
        <v>9</v>
      </c>
      <c r="G89" s="0" t="s">
        <v>553</v>
      </c>
      <c r="H89" s="0" t="s">
        <v>742</v>
      </c>
      <c r="I89" s="9" t="n">
        <f aca="false">VLOOKUP(B89,M:O,3,0)</f>
        <v>0.59375</v>
      </c>
      <c r="J89" s="0" t="str">
        <f aca="false">VLOOKUP(B89,M:P,4,0)</f>
        <v>ARCENE VIA SAN GIOVANNI BOSCO N.8</v>
      </c>
    </row>
    <row r="90" customFormat="false" ht="12.5" hidden="false" customHeight="false" outlineLevel="0" collapsed="false">
      <c r="A90" s="12" t="n">
        <v>46123</v>
      </c>
      <c r="B90" s="0" t="s">
        <v>770</v>
      </c>
      <c r="C90" s="0" t="s">
        <v>756</v>
      </c>
      <c r="D90" s="0" t="s">
        <v>743</v>
      </c>
      <c r="E90" s="0" t="s">
        <v>388</v>
      </c>
      <c r="F90" s="0" t="n">
        <v>9</v>
      </c>
      <c r="G90" s="0" t="s">
        <v>553</v>
      </c>
      <c r="H90" s="0" t="s">
        <v>742</v>
      </c>
      <c r="I90" s="9" t="n">
        <f aca="false">VLOOKUP(B90,M:O,3,0)</f>
        <v>0.604166666666667</v>
      </c>
      <c r="J90" s="0" t="str">
        <f aca="false">VLOOKUP(B90,M:P,4,0)</f>
        <v>PAGAZZANO VIA MALDOSSO S.N.C.</v>
      </c>
    </row>
    <row r="91" customFormat="false" ht="12.5" hidden="false" customHeight="false" outlineLevel="0" collapsed="false">
      <c r="A91" s="12" t="n">
        <v>46124</v>
      </c>
      <c r="B91" s="0" t="s">
        <v>760</v>
      </c>
      <c r="C91" s="0" t="s">
        <v>758</v>
      </c>
      <c r="D91" s="0" t="s">
        <v>743</v>
      </c>
      <c r="E91" s="0" t="s">
        <v>388</v>
      </c>
      <c r="F91" s="0" t="n">
        <v>9</v>
      </c>
      <c r="G91" s="0" t="s">
        <v>553</v>
      </c>
      <c r="H91" s="0" t="s">
        <v>290</v>
      </c>
      <c r="I91" s="9" t="n">
        <f aca="false">VLOOKUP(B91,M:O,3,0)</f>
        <v>0.416666666666667</v>
      </c>
      <c r="J91" s="0" t="str">
        <f aca="false">VLOOKUP(B91,M:P,4,0)</f>
        <v>VERDELLINO VIA DEGLI OLEANDRI 1</v>
      </c>
    </row>
    <row r="92" customFormat="false" ht="12.5" hidden="false" customHeight="false" outlineLevel="0" collapsed="false">
      <c r="A92" s="12" t="n">
        <v>46130</v>
      </c>
      <c r="B92" s="0" t="s">
        <v>412</v>
      </c>
      <c r="C92" s="0" t="s">
        <v>768</v>
      </c>
      <c r="D92" s="0" t="s">
        <v>743</v>
      </c>
      <c r="E92" s="0" t="s">
        <v>388</v>
      </c>
      <c r="F92" s="0" t="n">
        <v>10</v>
      </c>
      <c r="G92" s="0" t="s">
        <v>553</v>
      </c>
      <c r="H92" s="0" t="s">
        <v>742</v>
      </c>
      <c r="I92" s="9" t="n">
        <f aca="false">VLOOKUP(B92,M:O,3,0)</f>
        <v>0.625</v>
      </c>
      <c r="J92" s="0" t="str">
        <f aca="false">VLOOKUP(B92,M:P,4,0)</f>
        <v>BONATE SOTTO VIA GIUSEPPE GARIBALDI 15</v>
      </c>
    </row>
    <row r="93" customFormat="false" ht="12.5" hidden="false" customHeight="false" outlineLevel="0" collapsed="false">
      <c r="A93" s="12" t="n">
        <v>46131</v>
      </c>
      <c r="B93" s="0" t="s">
        <v>772</v>
      </c>
      <c r="C93" s="0" t="s">
        <v>766</v>
      </c>
      <c r="D93" s="0" t="s">
        <v>743</v>
      </c>
      <c r="E93" s="0" t="s">
        <v>388</v>
      </c>
      <c r="F93" s="0" t="n">
        <v>10</v>
      </c>
      <c r="G93" s="0" t="s">
        <v>553</v>
      </c>
      <c r="H93" s="0" t="s">
        <v>742</v>
      </c>
      <c r="I93" s="9" t="n">
        <f aca="false">VLOOKUP(B93,M:O,3,0)</f>
        <v>0.395833333333333</v>
      </c>
      <c r="J93" s="0" t="str">
        <f aca="false">VLOOKUP(B93,M:P,4,0)</f>
        <v>BOTTANUCO VIA JOHN FITZGERALD KENNEDY 8</v>
      </c>
    </row>
    <row r="94" customFormat="false" ht="12.5" hidden="false" customHeight="false" outlineLevel="0" collapsed="false">
      <c r="A94" s="12" t="n">
        <v>46130</v>
      </c>
      <c r="B94" s="0" t="s">
        <v>754</v>
      </c>
      <c r="C94" s="0" t="s">
        <v>760</v>
      </c>
      <c r="D94" s="0" t="s">
        <v>743</v>
      </c>
      <c r="E94" s="0" t="s">
        <v>388</v>
      </c>
      <c r="F94" s="0" t="n">
        <v>10</v>
      </c>
      <c r="G94" s="0" t="s">
        <v>553</v>
      </c>
      <c r="H94" s="0" t="s">
        <v>742</v>
      </c>
      <c r="I94" s="9" t="n">
        <f aca="false">VLOOKUP(B94,M:O,3,0)</f>
        <v>0.604166666666667</v>
      </c>
      <c r="J94" s="0" t="str">
        <f aca="false">VLOOKUP(B94,M:P,4,0)</f>
        <v>COMUN NUOVO VIA AZZURRI 2006</v>
      </c>
    </row>
    <row r="95" customFormat="false" ht="12.5" hidden="false" customHeight="false" outlineLevel="0" collapsed="false">
      <c r="A95" s="12" t="n">
        <v>46130</v>
      </c>
      <c r="B95" s="0" t="s">
        <v>756</v>
      </c>
      <c r="C95" s="0" t="s">
        <v>762</v>
      </c>
      <c r="D95" s="0" t="s">
        <v>743</v>
      </c>
      <c r="E95" s="0" t="s">
        <v>388</v>
      </c>
      <c r="F95" s="0" t="n">
        <v>10</v>
      </c>
      <c r="G95" s="0" t="s">
        <v>553</v>
      </c>
      <c r="H95" s="0" t="s">
        <v>742</v>
      </c>
      <c r="I95" s="9" t="n">
        <f aca="false">VLOOKUP(B95,M:O,3,0)</f>
        <v>0.645833333333333</v>
      </c>
      <c r="J95" s="0" t="str">
        <f aca="false">VLOOKUP(B95,M:P,4,0)</f>
        <v>DALMINE VIA DELLE TOFANE</v>
      </c>
    </row>
    <row r="96" customFormat="false" ht="12.5" hidden="false" customHeight="false" outlineLevel="0" collapsed="false">
      <c r="A96" s="12" t="n">
        <v>46130</v>
      </c>
      <c r="B96" s="0" t="s">
        <v>758</v>
      </c>
      <c r="C96" s="0" t="s">
        <v>764</v>
      </c>
      <c r="D96" s="0" t="s">
        <v>743</v>
      </c>
      <c r="E96" s="0" t="s">
        <v>388</v>
      </c>
      <c r="F96" s="0" t="n">
        <v>10</v>
      </c>
      <c r="G96" s="0" t="s">
        <v>553</v>
      </c>
      <c r="H96" s="0" t="s">
        <v>742</v>
      </c>
      <c r="I96" s="9" t="n">
        <f aca="false">VLOOKUP(B96,M:O,3,0)</f>
        <v>0.677083333333333</v>
      </c>
      <c r="J96" s="0" t="str">
        <f aca="false">VLOOKUP(B96,M:P,4,0)</f>
        <v>CALVENZANO VIA ROMA 10</v>
      </c>
    </row>
    <row r="97" customFormat="false" ht="12.5" hidden="false" customHeight="false" outlineLevel="0" collapsed="false">
      <c r="A97" s="12" t="n">
        <v>46137</v>
      </c>
      <c r="B97" s="0" t="s">
        <v>764</v>
      </c>
      <c r="C97" s="0" t="s">
        <v>754</v>
      </c>
      <c r="D97" s="0" t="s">
        <v>743</v>
      </c>
      <c r="E97" s="0" t="s">
        <v>388</v>
      </c>
      <c r="F97" s="0" t="n">
        <v>11</v>
      </c>
      <c r="G97" s="0" t="s">
        <v>553</v>
      </c>
      <c r="H97" s="0" t="s">
        <v>742</v>
      </c>
      <c r="I97" s="9" t="n">
        <f aca="false">VLOOKUP(B97,M:O,3,0)</f>
        <v>0.583333333333333</v>
      </c>
      <c r="J97" s="0" t="str">
        <f aca="false">VLOOKUP(B97,M:P,4,0)</f>
        <v>CAPRIATE SAN GERVASIO VIA GRIGNANO 24</v>
      </c>
    </row>
    <row r="98" customFormat="false" ht="12.5" hidden="false" customHeight="false" outlineLevel="0" collapsed="false">
      <c r="A98" s="12" t="n">
        <v>46137</v>
      </c>
      <c r="B98" s="0" t="s">
        <v>766</v>
      </c>
      <c r="C98" s="0" t="s">
        <v>756</v>
      </c>
      <c r="D98" s="0" t="s">
        <v>743</v>
      </c>
      <c r="E98" s="0" t="s">
        <v>388</v>
      </c>
      <c r="F98" s="0" t="n">
        <v>11</v>
      </c>
      <c r="G98" s="0" t="s">
        <v>553</v>
      </c>
      <c r="H98" s="0" t="s">
        <v>742</v>
      </c>
      <c r="I98" s="9" t="n">
        <f aca="false">VLOOKUP(B98,M:O,3,0)</f>
        <v>0.59375</v>
      </c>
      <c r="J98" s="0" t="str">
        <f aca="false">VLOOKUP(B98,M:P,4,0)</f>
        <v>ARCENE VIA SAN GIOVANNI BOSCO N.8</v>
      </c>
    </row>
    <row r="99" customFormat="false" ht="12.5" hidden="false" customHeight="false" outlineLevel="0" collapsed="false">
      <c r="A99" s="12" t="n">
        <v>46137</v>
      </c>
      <c r="B99" s="0" t="s">
        <v>768</v>
      </c>
      <c r="C99" s="0" t="s">
        <v>772</v>
      </c>
      <c r="D99" s="0" t="s">
        <v>743</v>
      </c>
      <c r="E99" s="0" t="s">
        <v>388</v>
      </c>
      <c r="F99" s="0" t="n">
        <v>11</v>
      </c>
      <c r="G99" s="0" t="s">
        <v>553</v>
      </c>
      <c r="H99" s="0" t="s">
        <v>742</v>
      </c>
      <c r="I99" s="9" t="n">
        <f aca="false">VLOOKUP(B99,M:O,3,0)</f>
        <v>0.625</v>
      </c>
      <c r="J99" s="0" t="str">
        <f aca="false">VLOOKUP(B99,M:P,4,0)</f>
        <v>ARCENE VIA GIUSEPPE VERDI SNC</v>
      </c>
    </row>
    <row r="100" customFormat="false" ht="12.5" hidden="false" customHeight="false" outlineLevel="0" collapsed="false">
      <c r="A100" s="12" t="n">
        <v>46137</v>
      </c>
      <c r="B100" s="0" t="s">
        <v>770</v>
      </c>
      <c r="C100" s="0" t="s">
        <v>758</v>
      </c>
      <c r="D100" s="0" t="s">
        <v>743</v>
      </c>
      <c r="E100" s="0" t="s">
        <v>388</v>
      </c>
      <c r="F100" s="0" t="n">
        <v>11</v>
      </c>
      <c r="G100" s="0" t="s">
        <v>553</v>
      </c>
      <c r="H100" s="0" t="s">
        <v>742</v>
      </c>
      <c r="I100" s="9" t="n">
        <f aca="false">VLOOKUP(B100,M:O,3,0)</f>
        <v>0.604166666666667</v>
      </c>
      <c r="J100" s="0" t="str">
        <f aca="false">VLOOKUP(B100,M:P,4,0)</f>
        <v>PAGAZZANO VIA MALDOSSO S.N.C.</v>
      </c>
    </row>
    <row r="101" customFormat="false" ht="12.5" hidden="false" customHeight="false" outlineLevel="0" collapsed="false">
      <c r="A101" s="12" t="n">
        <v>46138</v>
      </c>
      <c r="B101" s="0" t="s">
        <v>760</v>
      </c>
      <c r="C101" s="0" t="s">
        <v>412</v>
      </c>
      <c r="D101" s="0" t="s">
        <v>743</v>
      </c>
      <c r="E101" s="0" t="s">
        <v>388</v>
      </c>
      <c r="F101" s="0" t="n">
        <v>11</v>
      </c>
      <c r="G101" s="0" t="s">
        <v>553</v>
      </c>
      <c r="H101" s="0" t="s">
        <v>742</v>
      </c>
      <c r="I101" s="9" t="n">
        <f aca="false">VLOOKUP(B101,M:O,3,0)</f>
        <v>0.416666666666667</v>
      </c>
      <c r="J101" s="0" t="str">
        <f aca="false">VLOOKUP(B101,M:P,4,0)</f>
        <v>VERDELLINO VIA DEGLI OLEANDRI 1</v>
      </c>
    </row>
    <row r="102" customFormat="false" ht="12.5" hidden="false" customHeight="false" outlineLevel="0" collapsed="false">
      <c r="I102" s="9" t="s">
        <v>703</v>
      </c>
      <c r="J102" s="0" t="s">
        <v>703</v>
      </c>
    </row>
    <row r="103" customFormat="false" ht="12.5" hidden="false" customHeight="false" outlineLevel="0" collapsed="false">
      <c r="I103" s="9" t="s">
        <v>703</v>
      </c>
      <c r="J103" s="0" t="s">
        <v>703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62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A147" activeCellId="0" sqref="A147"/>
    </sheetView>
  </sheetViews>
  <sheetFormatPr defaultColWidth="11.89453125" defaultRowHeight="12.5" zeroHeight="false" outlineLevelRow="0" outlineLevelCol="0"/>
  <cols>
    <col collapsed="false" customWidth="true" hidden="false" outlineLevel="0" max="1" min="1" style="0" width="8.45"/>
    <col collapsed="false" customWidth="true" hidden="false" outlineLevel="0" max="3" min="2" style="0" width="31.01"/>
    <col collapsed="false" customWidth="true" hidden="false" outlineLevel="0" max="4" min="4" style="0" width="9.27"/>
    <col collapsed="false" customWidth="true" hidden="false" outlineLevel="0" max="5" min="5" style="0" width="8.45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6" width="5.36"/>
    <col collapsed="false" customWidth="true" hidden="false" outlineLevel="0" max="10" min="10" style="0" width="51.54"/>
    <col collapsed="false" customWidth="true" hidden="false" outlineLevel="0" max="12" min="12" style="0" width="1.36"/>
    <col collapsed="false" customWidth="true" hidden="false" outlineLevel="0" max="13" min="13" style="0" width="31.01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51.54"/>
  </cols>
  <sheetData>
    <row r="1" customFormat="false" ht="12.5" hidden="false" customHeight="false" outlineLevel="0" collapsed="false">
      <c r="A1" s="4" t="s">
        <v>0</v>
      </c>
      <c r="B1" s="0" t="s">
        <v>1</v>
      </c>
      <c r="C1" s="0" t="s">
        <v>2</v>
      </c>
      <c r="D1" s="0" t="s">
        <v>3</v>
      </c>
      <c r="E1" s="4" t="s">
        <v>4</v>
      </c>
      <c r="F1" s="0" t="s">
        <v>7</v>
      </c>
      <c r="G1" s="0" t="s">
        <v>8</v>
      </c>
      <c r="H1" s="0" t="s">
        <v>9</v>
      </c>
      <c r="I1" s="8" t="s">
        <v>5</v>
      </c>
      <c r="J1" s="0" t="s">
        <v>6</v>
      </c>
      <c r="M1" s="0" t="s">
        <v>547</v>
      </c>
      <c r="N1" s="0" t="s">
        <v>548</v>
      </c>
      <c r="O1" s="14" t="s">
        <v>549</v>
      </c>
      <c r="P1" s="0" t="s">
        <v>550</v>
      </c>
    </row>
    <row r="2" customFormat="false" ht="13" hidden="false" customHeight="false" outlineLevel="0" collapsed="false">
      <c r="A2" s="22" t="n">
        <v>46061</v>
      </c>
      <c r="B2" s="0" t="s">
        <v>341</v>
      </c>
      <c r="C2" s="0" t="s">
        <v>420</v>
      </c>
      <c r="D2" s="0" t="s">
        <v>774</v>
      </c>
      <c r="E2" s="0" t="s">
        <v>47</v>
      </c>
      <c r="F2" s="0" t="n">
        <v>1</v>
      </c>
      <c r="G2" s="0" t="s">
        <v>553</v>
      </c>
      <c r="H2" s="0" t="s">
        <v>742</v>
      </c>
      <c r="I2" s="6" t="n">
        <f aca="false">VLOOKUP(B2,M:O,3,0)</f>
        <v>0.395833333333333</v>
      </c>
      <c r="J2" s="0" t="str">
        <f aca="false">VLOOKUP(B2,M:P,4,0)</f>
        <v>PRESEZZO VIA OLIMPIA 3</v>
      </c>
      <c r="L2" s="0" t="s">
        <v>703</v>
      </c>
      <c r="M2" s="21" t="s">
        <v>341</v>
      </c>
      <c r="N2" s="0" t="s">
        <v>47</v>
      </c>
      <c r="O2" s="17" t="n">
        <v>0.395833333333333</v>
      </c>
      <c r="P2" s="0" t="s">
        <v>775</v>
      </c>
    </row>
    <row r="3" customFormat="false" ht="13" hidden="false" customHeight="false" outlineLevel="0" collapsed="false">
      <c r="A3" s="22" t="n">
        <v>46060</v>
      </c>
      <c r="B3" s="0" t="s">
        <v>390</v>
      </c>
      <c r="C3" s="0" t="s">
        <v>387</v>
      </c>
      <c r="D3" s="0" t="s">
        <v>774</v>
      </c>
      <c r="E3" s="0" t="s">
        <v>47</v>
      </c>
      <c r="F3" s="0" t="n">
        <v>1</v>
      </c>
      <c r="G3" s="0" t="s">
        <v>553</v>
      </c>
      <c r="H3" s="0" t="s">
        <v>742</v>
      </c>
      <c r="I3" s="6" t="n">
        <f aca="false">VLOOKUP(B3,M:O,3,0)</f>
        <v>0.614583333333333</v>
      </c>
      <c r="J3" s="0" t="str">
        <f aca="false">VLOOKUP(B3,M:P,4,0)</f>
        <v>ALME' VIA OLIMPIA 8</v>
      </c>
      <c r="M3" s="21" t="s">
        <v>390</v>
      </c>
      <c r="N3" s="0" t="s">
        <v>47</v>
      </c>
      <c r="O3" s="17" t="n">
        <v>0.614583333333333</v>
      </c>
      <c r="P3" s="0" t="s">
        <v>728</v>
      </c>
    </row>
    <row r="4" customFormat="false" ht="13" hidden="false" customHeight="false" outlineLevel="0" collapsed="false">
      <c r="A4" s="22" t="n">
        <v>46060</v>
      </c>
      <c r="B4" s="0" t="s">
        <v>286</v>
      </c>
      <c r="C4" s="0" t="s">
        <v>391</v>
      </c>
      <c r="D4" s="0" t="s">
        <v>774</v>
      </c>
      <c r="E4" s="0" t="s">
        <v>47</v>
      </c>
      <c r="F4" s="0" t="n">
        <v>1</v>
      </c>
      <c r="G4" s="0" t="s">
        <v>553</v>
      </c>
      <c r="H4" s="0" t="s">
        <v>742</v>
      </c>
      <c r="I4" s="6" t="n">
        <f aca="false">VLOOKUP(B4,M:O,3,0)</f>
        <v>0.625</v>
      </c>
      <c r="J4" s="0" t="str">
        <f aca="false">VLOOKUP(B4,M:P,4,0)</f>
        <v>PONTERANICA VIA 8 MARZO 13</v>
      </c>
      <c r="M4" s="21" t="s">
        <v>286</v>
      </c>
      <c r="N4" s="0" t="s">
        <v>47</v>
      </c>
      <c r="O4" s="17" t="n">
        <v>0.625</v>
      </c>
      <c r="P4" s="0" t="s">
        <v>719</v>
      </c>
    </row>
    <row r="5" customFormat="false" ht="13" hidden="false" customHeight="false" outlineLevel="0" collapsed="false">
      <c r="A5" s="22" t="n">
        <v>46061</v>
      </c>
      <c r="B5" s="0" t="s">
        <v>354</v>
      </c>
      <c r="C5" s="0" t="s">
        <v>776</v>
      </c>
      <c r="D5" s="0" t="s">
        <v>774</v>
      </c>
      <c r="E5" s="0" t="s">
        <v>47</v>
      </c>
      <c r="F5" s="0" t="n">
        <v>1</v>
      </c>
      <c r="G5" s="0" t="s">
        <v>553</v>
      </c>
      <c r="H5" s="0" t="s">
        <v>742</v>
      </c>
      <c r="I5" s="6" t="n">
        <f aca="false">VLOOKUP(B5,M:O,3,0)</f>
        <v>0.385416666666667</v>
      </c>
      <c r="J5" s="0" t="str">
        <f aca="false">VLOOKUP(B5,M:P,4,0)</f>
        <v>VILLA D'ALME' VIA RONCO BASSO 15</v>
      </c>
      <c r="L5" s="0" t="s">
        <v>703</v>
      </c>
      <c r="M5" s="21" t="s">
        <v>354</v>
      </c>
      <c r="N5" s="0" t="s">
        <v>47</v>
      </c>
      <c r="O5" s="17" t="n">
        <v>0.385416666666667</v>
      </c>
      <c r="P5" s="0" t="s">
        <v>777</v>
      </c>
    </row>
    <row r="6" customFormat="false" ht="13" hidden="false" customHeight="false" outlineLevel="0" collapsed="false">
      <c r="A6" s="22" t="n">
        <v>46060</v>
      </c>
      <c r="B6" s="0" t="s">
        <v>395</v>
      </c>
      <c r="C6" s="0" t="s">
        <v>739</v>
      </c>
      <c r="D6" s="0" t="s">
        <v>774</v>
      </c>
      <c r="E6" s="0" t="s">
        <v>47</v>
      </c>
      <c r="F6" s="0" t="n">
        <v>1</v>
      </c>
      <c r="G6" s="0" t="s">
        <v>553</v>
      </c>
      <c r="H6" s="0" t="s">
        <v>742</v>
      </c>
      <c r="I6" s="6" t="n">
        <f aca="false">VLOOKUP(B6,M:O,3,0)</f>
        <v>0.604166666666667</v>
      </c>
      <c r="J6" s="0" t="str">
        <f aca="false">VLOOKUP(B6,M:P,4,0)</f>
        <v>ZOGNO VIA CAMANCHE SNC - CAMANGHE</v>
      </c>
      <c r="M6" s="21" t="s">
        <v>395</v>
      </c>
      <c r="N6" s="0" t="s">
        <v>47</v>
      </c>
      <c r="O6" s="17" t="n">
        <v>0.604166666666667</v>
      </c>
      <c r="P6" s="0" t="s">
        <v>737</v>
      </c>
    </row>
    <row r="7" customFormat="false" ht="13" hidden="false" customHeight="false" outlineLevel="0" collapsed="false">
      <c r="A7" s="22" t="n">
        <v>46067</v>
      </c>
      <c r="B7" s="0" t="s">
        <v>387</v>
      </c>
      <c r="C7" s="0" t="s">
        <v>354</v>
      </c>
      <c r="D7" s="0" t="s">
        <v>774</v>
      </c>
      <c r="E7" s="0" t="s">
        <v>47</v>
      </c>
      <c r="F7" s="0" t="n">
        <v>2</v>
      </c>
      <c r="G7" s="0" t="s">
        <v>553</v>
      </c>
      <c r="H7" s="0" t="s">
        <v>742</v>
      </c>
      <c r="I7" s="6" t="n">
        <f aca="false">VLOOKUP(B7,M:O,3,0)</f>
        <v>0.59375</v>
      </c>
      <c r="J7" s="0" t="str">
        <f aca="false">VLOOKUP(B7,M:P,4,0)</f>
        <v>MAPELLO VIA DEL LAZZARINO</v>
      </c>
      <c r="M7" s="21" t="s">
        <v>387</v>
      </c>
      <c r="N7" s="0" t="s">
        <v>47</v>
      </c>
      <c r="O7" s="17" t="n">
        <v>0.59375</v>
      </c>
      <c r="P7" s="0" t="s">
        <v>778</v>
      </c>
    </row>
    <row r="8" customFormat="false" ht="13" hidden="false" customHeight="false" outlineLevel="0" collapsed="false">
      <c r="A8" s="22" t="n">
        <v>46067</v>
      </c>
      <c r="B8" s="0" t="s">
        <v>739</v>
      </c>
      <c r="C8" s="0" t="s">
        <v>390</v>
      </c>
      <c r="D8" s="0" t="s">
        <v>774</v>
      </c>
      <c r="E8" s="0" t="s">
        <v>47</v>
      </c>
      <c r="F8" s="0" t="n">
        <v>2</v>
      </c>
      <c r="G8" s="0" t="s">
        <v>553</v>
      </c>
      <c r="H8" s="0" t="s">
        <v>742</v>
      </c>
      <c r="I8" s="6" t="n">
        <f aca="false">VLOOKUP(B8,M:O,3,0)</f>
        <v>0.604166666666667</v>
      </c>
      <c r="J8" s="0" t="str">
        <f aca="false">VLOOKUP(B8,M:P,4,0)</f>
        <v>PALADINA VIA DEGLI ALPINI N.1</v>
      </c>
      <c r="M8" s="21" t="s">
        <v>739</v>
      </c>
      <c r="N8" s="0" t="s">
        <v>47</v>
      </c>
      <c r="O8" s="17" t="n">
        <v>0.604166666666667</v>
      </c>
      <c r="P8" s="0" t="s">
        <v>779</v>
      </c>
    </row>
    <row r="9" customFormat="false" ht="13" hidden="false" customHeight="false" outlineLevel="0" collapsed="false">
      <c r="A9" s="22" t="n">
        <v>46067</v>
      </c>
      <c r="B9" s="0" t="s">
        <v>391</v>
      </c>
      <c r="C9" s="0" t="s">
        <v>395</v>
      </c>
      <c r="D9" s="0" t="s">
        <v>774</v>
      </c>
      <c r="E9" s="0" t="s">
        <v>47</v>
      </c>
      <c r="F9" s="0" t="n">
        <v>2</v>
      </c>
      <c r="G9" s="0" t="s">
        <v>553</v>
      </c>
      <c r="H9" s="0" t="s">
        <v>742</v>
      </c>
      <c r="I9" s="6" t="n">
        <f aca="false">VLOOKUP(B9,M:O,3,0)</f>
        <v>0.458333333333333</v>
      </c>
      <c r="J9" s="0" t="str">
        <f aca="false">VLOOKUP(B9,M:P,4,0)</f>
        <v>SANT'OMOBONO TERME VIA ALLE FONTI 2</v>
      </c>
      <c r="M9" s="21" t="s">
        <v>391</v>
      </c>
      <c r="N9" s="0" t="s">
        <v>47</v>
      </c>
      <c r="O9" s="17" t="n">
        <v>0.458333333333333</v>
      </c>
      <c r="P9" s="0" t="s">
        <v>780</v>
      </c>
    </row>
    <row r="10" customFormat="false" ht="13" hidden="false" customHeight="false" outlineLevel="0" collapsed="false">
      <c r="A10" s="22" t="n">
        <v>46067</v>
      </c>
      <c r="B10" s="0" t="s">
        <v>776</v>
      </c>
      <c r="C10" s="0" t="s">
        <v>341</v>
      </c>
      <c r="D10" s="0" t="s">
        <v>774</v>
      </c>
      <c r="E10" s="0" t="s">
        <v>47</v>
      </c>
      <c r="F10" s="0" t="n">
        <v>2</v>
      </c>
      <c r="G10" s="0" t="s">
        <v>553</v>
      </c>
      <c r="H10" s="0" t="s">
        <v>742</v>
      </c>
      <c r="I10" s="6" t="n">
        <f aca="false">VLOOKUP(B10,M:O,3,0)</f>
        <v>0.614583333333333</v>
      </c>
      <c r="J10" s="0" t="str">
        <f aca="false">VLOOKUP(B10,M:P,4,0)</f>
        <v>ALME' VIA OLIMPIA 8</v>
      </c>
      <c r="M10" s="21" t="s">
        <v>776</v>
      </c>
      <c r="N10" s="0" t="s">
        <v>47</v>
      </c>
      <c r="O10" s="17" t="n">
        <v>0.614583333333333</v>
      </c>
      <c r="P10" s="0" t="s">
        <v>728</v>
      </c>
    </row>
    <row r="11" customFormat="false" ht="13" hidden="false" customHeight="false" outlineLevel="0" collapsed="false">
      <c r="A11" s="22" t="n">
        <v>46067</v>
      </c>
      <c r="B11" s="0" t="s">
        <v>420</v>
      </c>
      <c r="C11" s="0" t="s">
        <v>286</v>
      </c>
      <c r="D11" s="0" t="s">
        <v>774</v>
      </c>
      <c r="E11" s="0" t="s">
        <v>47</v>
      </c>
      <c r="F11" s="0" t="n">
        <v>2</v>
      </c>
      <c r="G11" s="0" t="s">
        <v>553</v>
      </c>
      <c r="H11" s="0" t="s">
        <v>742</v>
      </c>
      <c r="I11" s="6" t="n">
        <f aca="false">VLOOKUP(B11,M:O,3,0)</f>
        <v>0.625</v>
      </c>
      <c r="J11" s="0" t="str">
        <f aca="false">VLOOKUP(B11,M:P,4,0)</f>
        <v>AMBIVERE VIA LEOPARDI SNC</v>
      </c>
      <c r="M11" s="21" t="s">
        <v>420</v>
      </c>
      <c r="N11" s="0" t="s">
        <v>47</v>
      </c>
      <c r="O11" s="17" t="n">
        <v>0.625</v>
      </c>
      <c r="P11" s="0" t="s">
        <v>423</v>
      </c>
    </row>
    <row r="12" customFormat="false" ht="12.5" hidden="false" customHeight="false" outlineLevel="0" collapsed="false">
      <c r="A12" s="22" t="n">
        <v>46075</v>
      </c>
      <c r="B12" s="0" t="s">
        <v>341</v>
      </c>
      <c r="C12" s="0" t="s">
        <v>354</v>
      </c>
      <c r="D12" s="0" t="s">
        <v>774</v>
      </c>
      <c r="E12" s="0" t="s">
        <v>47</v>
      </c>
      <c r="F12" s="0" t="n">
        <v>3</v>
      </c>
      <c r="G12" s="0" t="s">
        <v>553</v>
      </c>
      <c r="H12" s="0" t="s">
        <v>742</v>
      </c>
      <c r="I12" s="6" t="n">
        <f aca="false">VLOOKUP(B12,M:O,3,0)</f>
        <v>0.395833333333333</v>
      </c>
      <c r="J12" s="0" t="str">
        <f aca="false">VLOOKUP(B12,M:P,4,0)</f>
        <v>PRESEZZO VIA OLIMPIA 3</v>
      </c>
      <c r="M12" s="0" t="s">
        <v>781</v>
      </c>
      <c r="N12" s="0" t="s">
        <v>364</v>
      </c>
      <c r="O12" s="17" t="n">
        <v>0.666666666666667</v>
      </c>
      <c r="P12" s="0" t="s">
        <v>728</v>
      </c>
    </row>
    <row r="13" customFormat="false" ht="12.5" hidden="false" customHeight="false" outlineLevel="0" collapsed="false">
      <c r="A13" s="22" t="n">
        <v>46074</v>
      </c>
      <c r="B13" s="0" t="s">
        <v>739</v>
      </c>
      <c r="C13" s="0" t="s">
        <v>387</v>
      </c>
      <c r="D13" s="0" t="s">
        <v>774</v>
      </c>
      <c r="E13" s="0" t="s">
        <v>47</v>
      </c>
      <c r="F13" s="0" t="n">
        <v>3</v>
      </c>
      <c r="G13" s="0" t="s">
        <v>553</v>
      </c>
      <c r="H13" s="0" t="s">
        <v>742</v>
      </c>
      <c r="I13" s="6" t="n">
        <f aca="false">VLOOKUP(B13,M:O,3,0)</f>
        <v>0.604166666666667</v>
      </c>
      <c r="J13" s="0" t="str">
        <f aca="false">VLOOKUP(B13,M:P,4,0)</f>
        <v>PALADINA VIA DEGLI ALPINI N.1</v>
      </c>
      <c r="M13" s="0" t="s">
        <v>782</v>
      </c>
      <c r="N13" s="0" t="s">
        <v>364</v>
      </c>
      <c r="O13" s="17" t="n">
        <v>0.625</v>
      </c>
      <c r="P13" s="0" t="s">
        <v>719</v>
      </c>
    </row>
    <row r="14" customFormat="false" ht="12.5" hidden="false" customHeight="false" outlineLevel="0" collapsed="false">
      <c r="A14" s="22" t="n">
        <v>46074</v>
      </c>
      <c r="B14" s="0" t="s">
        <v>390</v>
      </c>
      <c r="C14" s="0" t="s">
        <v>391</v>
      </c>
      <c r="D14" s="0" t="s">
        <v>774</v>
      </c>
      <c r="E14" s="0" t="s">
        <v>47</v>
      </c>
      <c r="F14" s="0" t="n">
        <v>3</v>
      </c>
      <c r="G14" s="0" t="s">
        <v>553</v>
      </c>
      <c r="H14" s="0" t="s">
        <v>742</v>
      </c>
      <c r="I14" s="6" t="n">
        <f aca="false">VLOOKUP(B14,M:O,3,0)</f>
        <v>0.614583333333333</v>
      </c>
      <c r="J14" s="0" t="str">
        <f aca="false">VLOOKUP(B14,M:P,4,0)</f>
        <v>ALME' VIA OLIMPIA 8</v>
      </c>
      <c r="M14" s="0" t="s">
        <v>666</v>
      </c>
      <c r="N14" s="0" t="s">
        <v>364</v>
      </c>
      <c r="O14" s="17" t="n">
        <v>0.4375</v>
      </c>
      <c r="P14" s="0" t="s">
        <v>777</v>
      </c>
    </row>
    <row r="15" customFormat="false" ht="12.5" hidden="false" customHeight="false" outlineLevel="0" collapsed="false">
      <c r="A15" s="22" t="n">
        <v>46074</v>
      </c>
      <c r="B15" s="0" t="s">
        <v>286</v>
      </c>
      <c r="C15" s="0" t="s">
        <v>776</v>
      </c>
      <c r="D15" s="0" t="s">
        <v>774</v>
      </c>
      <c r="E15" s="0" t="s">
        <v>47</v>
      </c>
      <c r="F15" s="0" t="n">
        <v>3</v>
      </c>
      <c r="G15" s="0" t="s">
        <v>553</v>
      </c>
      <c r="H15" s="0" t="s">
        <v>742</v>
      </c>
      <c r="I15" s="6" t="n">
        <f aca="false">VLOOKUP(B15,M:O,3,0)</f>
        <v>0.625</v>
      </c>
      <c r="J15" s="0" t="str">
        <f aca="false">VLOOKUP(B15,M:P,4,0)</f>
        <v>PONTERANICA VIA 8 MARZO 13</v>
      </c>
      <c r="M15" s="0" t="s">
        <v>783</v>
      </c>
      <c r="N15" s="0" t="s">
        <v>364</v>
      </c>
      <c r="O15" s="17" t="n">
        <v>0.604166666666667</v>
      </c>
      <c r="P15" s="0" t="s">
        <v>737</v>
      </c>
    </row>
    <row r="16" customFormat="false" ht="12.5" hidden="false" customHeight="false" outlineLevel="0" collapsed="false">
      <c r="A16" s="22" t="n">
        <v>46074</v>
      </c>
      <c r="B16" s="0" t="s">
        <v>395</v>
      </c>
      <c r="C16" s="0" t="s">
        <v>420</v>
      </c>
      <c r="D16" s="0" t="s">
        <v>774</v>
      </c>
      <c r="E16" s="0" t="s">
        <v>47</v>
      </c>
      <c r="F16" s="0" t="n">
        <v>3</v>
      </c>
      <c r="G16" s="0" t="s">
        <v>553</v>
      </c>
      <c r="H16" s="0" t="s">
        <v>742</v>
      </c>
      <c r="I16" s="6" t="n">
        <f aca="false">VLOOKUP(B16,M:O,3,0)</f>
        <v>0.604166666666667</v>
      </c>
      <c r="J16" s="0" t="str">
        <f aca="false">VLOOKUP(B16,M:P,4,0)</f>
        <v>ZOGNO VIA CAMANCHE SNC - CAMANGHE</v>
      </c>
      <c r="M16" s="0" t="s">
        <v>784</v>
      </c>
      <c r="N16" s="0" t="s">
        <v>364</v>
      </c>
      <c r="O16" s="17" t="n">
        <v>0.59375</v>
      </c>
      <c r="P16" s="0" t="s">
        <v>778</v>
      </c>
    </row>
    <row r="17" customFormat="false" ht="12.5" hidden="false" customHeight="false" outlineLevel="0" collapsed="false">
      <c r="A17" s="22" t="n">
        <v>46081</v>
      </c>
      <c r="B17" s="0" t="s">
        <v>387</v>
      </c>
      <c r="C17" s="0" t="s">
        <v>341</v>
      </c>
      <c r="D17" s="0" t="s">
        <v>774</v>
      </c>
      <c r="E17" s="0" t="s">
        <v>47</v>
      </c>
      <c r="F17" s="0" t="n">
        <v>4</v>
      </c>
      <c r="G17" s="0" t="s">
        <v>553</v>
      </c>
      <c r="H17" s="0" t="s">
        <v>742</v>
      </c>
      <c r="I17" s="6" t="n">
        <f aca="false">VLOOKUP(B17,M:O,3,0)</f>
        <v>0.59375</v>
      </c>
      <c r="J17" s="0" t="str">
        <f aca="false">VLOOKUP(B17,M:P,4,0)</f>
        <v>MAPELLO VIA DEL LAZZARINO</v>
      </c>
      <c r="M17" s="0" t="s">
        <v>328</v>
      </c>
      <c r="N17" s="0" t="s">
        <v>364</v>
      </c>
      <c r="O17" s="17" t="n">
        <v>0.59375</v>
      </c>
      <c r="P17" s="0" t="s">
        <v>778</v>
      </c>
    </row>
    <row r="18" customFormat="false" ht="12.5" hidden="false" customHeight="false" outlineLevel="0" collapsed="false">
      <c r="A18" s="22" t="n">
        <v>46081</v>
      </c>
      <c r="B18" s="0" t="s">
        <v>391</v>
      </c>
      <c r="C18" s="0" t="s">
        <v>739</v>
      </c>
      <c r="D18" s="0" t="s">
        <v>774</v>
      </c>
      <c r="E18" s="0" t="s">
        <v>47</v>
      </c>
      <c r="F18" s="0" t="n">
        <v>4</v>
      </c>
      <c r="G18" s="0" t="s">
        <v>553</v>
      </c>
      <c r="H18" s="0" t="s">
        <v>742</v>
      </c>
      <c r="I18" s="6" t="n">
        <f aca="false">VLOOKUP(B18,M:O,3,0)</f>
        <v>0.458333333333333</v>
      </c>
      <c r="J18" s="0" t="str">
        <f aca="false">VLOOKUP(B18,M:P,4,0)</f>
        <v>SANT'OMOBONO TERME VIA ALLE FONTI 2</v>
      </c>
      <c r="M18" s="0" t="s">
        <v>602</v>
      </c>
      <c r="N18" s="0" t="s">
        <v>364</v>
      </c>
      <c r="O18" s="17" t="n">
        <v>0.416666666666667</v>
      </c>
      <c r="P18" s="0" t="s">
        <v>780</v>
      </c>
    </row>
    <row r="19" customFormat="false" ht="12.5" hidden="false" customHeight="false" outlineLevel="0" collapsed="false">
      <c r="A19" s="22" t="n">
        <v>46081</v>
      </c>
      <c r="B19" s="0" t="s">
        <v>776</v>
      </c>
      <c r="C19" s="0" t="s">
        <v>395</v>
      </c>
      <c r="D19" s="0" t="s">
        <v>774</v>
      </c>
      <c r="E19" s="0" t="s">
        <v>47</v>
      </c>
      <c r="F19" s="0" t="n">
        <v>4</v>
      </c>
      <c r="G19" s="0" t="s">
        <v>553</v>
      </c>
      <c r="H19" s="0" t="s">
        <v>742</v>
      </c>
      <c r="I19" s="6" t="n">
        <f aca="false">VLOOKUP(B19,M:O,3,0)</f>
        <v>0.614583333333333</v>
      </c>
      <c r="J19" s="0" t="str">
        <f aca="false">VLOOKUP(B19,M:P,4,0)</f>
        <v>ALME' VIA OLIMPIA 8</v>
      </c>
      <c r="M19" s="0" t="s">
        <v>785</v>
      </c>
      <c r="N19" s="0" t="s">
        <v>364</v>
      </c>
      <c r="O19" s="17" t="n">
        <v>0.666666666666667</v>
      </c>
      <c r="P19" s="0" t="s">
        <v>728</v>
      </c>
    </row>
    <row r="20" customFormat="false" ht="12.5" hidden="false" customHeight="false" outlineLevel="0" collapsed="false">
      <c r="A20" s="22" t="n">
        <v>46081</v>
      </c>
      <c r="B20" s="0" t="s">
        <v>420</v>
      </c>
      <c r="C20" s="0" t="s">
        <v>390</v>
      </c>
      <c r="D20" s="0" t="s">
        <v>774</v>
      </c>
      <c r="E20" s="0" t="s">
        <v>47</v>
      </c>
      <c r="F20" s="0" t="n">
        <v>4</v>
      </c>
      <c r="G20" s="0" t="s">
        <v>553</v>
      </c>
      <c r="H20" s="0" t="s">
        <v>742</v>
      </c>
      <c r="I20" s="6" t="n">
        <f aca="false">VLOOKUP(B20,M:O,3,0)</f>
        <v>0.625</v>
      </c>
      <c r="J20" s="0" t="str">
        <f aca="false">VLOOKUP(B20,M:P,4,0)</f>
        <v>AMBIVERE VIA LEOPARDI SNC</v>
      </c>
      <c r="M20" s="0" t="s">
        <v>786</v>
      </c>
      <c r="N20" s="0" t="s">
        <v>364</v>
      </c>
      <c r="O20" s="17" t="n">
        <v>0.604166666666667</v>
      </c>
      <c r="P20" s="0" t="s">
        <v>576</v>
      </c>
    </row>
    <row r="21" customFormat="false" ht="12.5" hidden="false" customHeight="false" outlineLevel="0" collapsed="false">
      <c r="A21" s="22" t="n">
        <v>46082</v>
      </c>
      <c r="B21" s="0" t="s">
        <v>354</v>
      </c>
      <c r="C21" s="0" t="s">
        <v>286</v>
      </c>
      <c r="D21" s="0" t="s">
        <v>774</v>
      </c>
      <c r="E21" s="0" t="s">
        <v>47</v>
      </c>
      <c r="F21" s="0" t="n">
        <v>4</v>
      </c>
      <c r="G21" s="0" t="s">
        <v>553</v>
      </c>
      <c r="H21" s="0" t="s">
        <v>742</v>
      </c>
      <c r="I21" s="6" t="n">
        <f aca="false">VLOOKUP(B21,M:O,3,0)</f>
        <v>0.385416666666667</v>
      </c>
      <c r="J21" s="0" t="str">
        <f aca="false">VLOOKUP(B21,M:P,4,0)</f>
        <v>VILLA D'ALME' VIA RONCO BASSO 15</v>
      </c>
      <c r="M21" s="0" t="s">
        <v>787</v>
      </c>
      <c r="N21" s="0" t="s">
        <v>408</v>
      </c>
      <c r="O21" s="17" t="n">
        <v>0.416666666666667</v>
      </c>
      <c r="P21" s="0" t="s">
        <v>788</v>
      </c>
    </row>
    <row r="22" customFormat="false" ht="12.5" hidden="false" customHeight="false" outlineLevel="0" collapsed="false">
      <c r="A22" s="22" t="n">
        <v>46088</v>
      </c>
      <c r="B22" s="0" t="s">
        <v>739</v>
      </c>
      <c r="C22" s="0" t="s">
        <v>420</v>
      </c>
      <c r="D22" s="0" t="s">
        <v>774</v>
      </c>
      <c r="E22" s="0" t="s">
        <v>47</v>
      </c>
      <c r="F22" s="0" t="n">
        <v>5</v>
      </c>
      <c r="G22" s="0" t="s">
        <v>553</v>
      </c>
      <c r="H22" s="0" t="s">
        <v>742</v>
      </c>
      <c r="I22" s="6" t="n">
        <f aca="false">VLOOKUP(B22,M:O,3,0)</f>
        <v>0.604166666666667</v>
      </c>
      <c r="J22" s="0" t="str">
        <f aca="false">VLOOKUP(B22,M:P,4,0)</f>
        <v>PALADINA VIA DEGLI ALPINI N.1</v>
      </c>
      <c r="M22" s="0" t="s">
        <v>789</v>
      </c>
      <c r="N22" s="0" t="s">
        <v>408</v>
      </c>
      <c r="O22" s="17" t="n">
        <v>0.583333333333333</v>
      </c>
      <c r="P22" s="0" t="s">
        <v>753</v>
      </c>
    </row>
    <row r="23" customFormat="false" ht="12.5" hidden="false" customHeight="false" outlineLevel="0" collapsed="false">
      <c r="A23" s="22" t="n">
        <v>46088</v>
      </c>
      <c r="B23" s="0" t="s">
        <v>391</v>
      </c>
      <c r="C23" s="0" t="s">
        <v>387</v>
      </c>
      <c r="D23" s="0" t="s">
        <v>774</v>
      </c>
      <c r="E23" s="0" t="s">
        <v>47</v>
      </c>
      <c r="F23" s="0" t="n">
        <v>5</v>
      </c>
      <c r="G23" s="0" t="s">
        <v>553</v>
      </c>
      <c r="H23" s="0" t="s">
        <v>742</v>
      </c>
      <c r="I23" s="6" t="n">
        <f aca="false">VLOOKUP(B23,M:O,3,0)</f>
        <v>0.458333333333333</v>
      </c>
      <c r="J23" s="0" t="str">
        <f aca="false">VLOOKUP(B23,M:P,4,0)</f>
        <v>SANT'OMOBONO TERME VIA ALLE FONTI 2</v>
      </c>
      <c r="M23" s="0" t="s">
        <v>598</v>
      </c>
      <c r="N23" s="0" t="s">
        <v>408</v>
      </c>
      <c r="O23" s="17" t="n">
        <v>0.604166666666667</v>
      </c>
      <c r="P23" s="0" t="s">
        <v>725</v>
      </c>
    </row>
    <row r="24" customFormat="false" ht="12.5" hidden="false" customHeight="false" outlineLevel="0" collapsed="false">
      <c r="A24" s="22" t="n">
        <v>46088</v>
      </c>
      <c r="B24" s="0" t="s">
        <v>390</v>
      </c>
      <c r="C24" s="0" t="s">
        <v>776</v>
      </c>
      <c r="D24" s="0" t="s">
        <v>774</v>
      </c>
      <c r="E24" s="0" t="s">
        <v>47</v>
      </c>
      <c r="F24" s="0" t="n">
        <v>5</v>
      </c>
      <c r="G24" s="0" t="s">
        <v>553</v>
      </c>
      <c r="H24" s="0" t="s">
        <v>742</v>
      </c>
      <c r="I24" s="6" t="n">
        <f aca="false">VLOOKUP(B24,M:O,3,0)</f>
        <v>0.614583333333333</v>
      </c>
      <c r="J24" s="0" t="str">
        <f aca="false">VLOOKUP(B24,M:P,4,0)</f>
        <v>ALME' VIA OLIMPIA 8</v>
      </c>
      <c r="M24" s="0" t="s">
        <v>657</v>
      </c>
      <c r="N24" s="0" t="s">
        <v>408</v>
      </c>
      <c r="O24" s="17" t="n">
        <v>0.416666666666667</v>
      </c>
      <c r="P24" s="0" t="s">
        <v>790</v>
      </c>
    </row>
    <row r="25" customFormat="false" ht="12.5" hidden="false" customHeight="false" outlineLevel="0" collapsed="false">
      <c r="A25" s="22" t="n">
        <v>46088</v>
      </c>
      <c r="B25" s="0" t="s">
        <v>286</v>
      </c>
      <c r="C25" s="0" t="s">
        <v>341</v>
      </c>
      <c r="D25" s="0" t="s">
        <v>774</v>
      </c>
      <c r="E25" s="0" t="s">
        <v>47</v>
      </c>
      <c r="F25" s="0" t="n">
        <v>5</v>
      </c>
      <c r="G25" s="0" t="s">
        <v>553</v>
      </c>
      <c r="H25" s="0" t="s">
        <v>742</v>
      </c>
      <c r="I25" s="6" t="n">
        <f aca="false">VLOOKUP(B25,M:O,3,0)</f>
        <v>0.625</v>
      </c>
      <c r="J25" s="0" t="str">
        <f aca="false">VLOOKUP(B25,M:P,4,0)</f>
        <v>PONTERANICA VIA 8 MARZO 13</v>
      </c>
      <c r="M25" s="0" t="s">
        <v>791</v>
      </c>
      <c r="N25" s="0" t="s">
        <v>408</v>
      </c>
      <c r="O25" s="17" t="n">
        <v>0.604166666666667</v>
      </c>
      <c r="P25" s="0" t="s">
        <v>792</v>
      </c>
    </row>
    <row r="26" customFormat="false" ht="12.5" hidden="false" customHeight="false" outlineLevel="0" collapsed="false">
      <c r="A26" s="22" t="n">
        <v>46088</v>
      </c>
      <c r="B26" s="0" t="s">
        <v>395</v>
      </c>
      <c r="C26" s="0" t="s">
        <v>354</v>
      </c>
      <c r="D26" s="0" t="s">
        <v>774</v>
      </c>
      <c r="E26" s="0" t="s">
        <v>47</v>
      </c>
      <c r="F26" s="0" t="n">
        <v>5</v>
      </c>
      <c r="G26" s="0" t="s">
        <v>553</v>
      </c>
      <c r="H26" s="0" t="s">
        <v>742</v>
      </c>
      <c r="I26" s="6" t="n">
        <f aca="false">VLOOKUP(B26,M:O,3,0)</f>
        <v>0.604166666666667</v>
      </c>
      <c r="J26" s="0" t="str">
        <f aca="false">VLOOKUP(B26,M:P,4,0)</f>
        <v>ZOGNO VIA CAMANCHE SNC - CAMANGHE</v>
      </c>
      <c r="M26" s="0" t="s">
        <v>661</v>
      </c>
      <c r="N26" s="0" t="s">
        <v>408</v>
      </c>
      <c r="O26" s="17" t="n">
        <v>0.416666666666667</v>
      </c>
      <c r="P26" s="0" t="s">
        <v>793</v>
      </c>
    </row>
    <row r="27" customFormat="false" ht="12.5" hidden="false" customHeight="false" outlineLevel="0" collapsed="false">
      <c r="A27" s="22" t="n">
        <v>46095</v>
      </c>
      <c r="B27" s="0" t="s">
        <v>387</v>
      </c>
      <c r="C27" s="0" t="s">
        <v>286</v>
      </c>
      <c r="D27" s="0" t="s">
        <v>774</v>
      </c>
      <c r="E27" s="0" t="s">
        <v>47</v>
      </c>
      <c r="F27" s="0" t="n">
        <v>6</v>
      </c>
      <c r="G27" s="0" t="s">
        <v>553</v>
      </c>
      <c r="H27" s="0" t="s">
        <v>742</v>
      </c>
      <c r="I27" s="6" t="n">
        <f aca="false">VLOOKUP(B27,M:O,3,0)</f>
        <v>0.59375</v>
      </c>
      <c r="J27" s="0" t="str">
        <f aca="false">VLOOKUP(B27,M:P,4,0)</f>
        <v>MAPELLO VIA DEL LAZZARINO</v>
      </c>
      <c r="M27" s="0" t="s">
        <v>794</v>
      </c>
      <c r="N27" s="0" t="s">
        <v>408</v>
      </c>
      <c r="O27" s="17" t="n">
        <v>0.604166666666667</v>
      </c>
      <c r="P27" s="0" t="s">
        <v>795</v>
      </c>
    </row>
    <row r="28" customFormat="false" ht="12.5" hidden="false" customHeight="false" outlineLevel="0" collapsed="false">
      <c r="A28" s="22" t="n">
        <v>46096</v>
      </c>
      <c r="B28" s="0" t="s">
        <v>341</v>
      </c>
      <c r="C28" s="0" t="s">
        <v>395</v>
      </c>
      <c r="D28" s="0" t="s">
        <v>774</v>
      </c>
      <c r="E28" s="0" t="s">
        <v>47</v>
      </c>
      <c r="F28" s="0" t="n">
        <v>6</v>
      </c>
      <c r="G28" s="0" t="s">
        <v>553</v>
      </c>
      <c r="H28" s="0" t="s">
        <v>742</v>
      </c>
      <c r="I28" s="6" t="n">
        <f aca="false">VLOOKUP(B28,M:O,3,0)</f>
        <v>0.395833333333333</v>
      </c>
      <c r="J28" s="0" t="str">
        <f aca="false">VLOOKUP(B28,M:P,4,0)</f>
        <v>PRESEZZO VIA OLIMPIA 3</v>
      </c>
      <c r="M28" s="0" t="s">
        <v>440</v>
      </c>
      <c r="N28" s="0" t="s">
        <v>408</v>
      </c>
      <c r="O28" s="17" t="n">
        <v>0.625</v>
      </c>
      <c r="P28" s="0" t="s">
        <v>796</v>
      </c>
    </row>
    <row r="29" customFormat="false" ht="13" hidden="false" customHeight="false" outlineLevel="0" collapsed="false">
      <c r="A29" s="22" t="n">
        <v>46095</v>
      </c>
      <c r="B29" s="0" t="s">
        <v>776</v>
      </c>
      <c r="C29" s="0" t="s">
        <v>739</v>
      </c>
      <c r="D29" s="0" t="s">
        <v>774</v>
      </c>
      <c r="E29" s="0" t="s">
        <v>47</v>
      </c>
      <c r="F29" s="0" t="n">
        <v>6</v>
      </c>
      <c r="G29" s="0" t="s">
        <v>553</v>
      </c>
      <c r="H29" s="0" t="s">
        <v>742</v>
      </c>
      <c r="I29" s="6" t="n">
        <f aca="false">VLOOKUP(B29,M:O,3,0)</f>
        <v>0.614583333333333</v>
      </c>
      <c r="J29" s="0" t="str">
        <f aca="false">VLOOKUP(B29,M:P,4,0)</f>
        <v>ALME' VIA OLIMPIA 8</v>
      </c>
      <c r="L29" s="0" t="s">
        <v>703</v>
      </c>
      <c r="M29" s="21" t="s">
        <v>654</v>
      </c>
      <c r="N29" s="0" t="s">
        <v>408</v>
      </c>
      <c r="O29" s="17" t="n">
        <v>0.604166666666667</v>
      </c>
      <c r="P29" s="0" t="s">
        <v>797</v>
      </c>
    </row>
    <row r="30" customFormat="false" ht="13" hidden="false" customHeight="false" outlineLevel="0" collapsed="false">
      <c r="A30" s="22" t="n">
        <v>46095</v>
      </c>
      <c r="B30" s="0" t="s">
        <v>420</v>
      </c>
      <c r="C30" s="0" t="s">
        <v>391</v>
      </c>
      <c r="D30" s="0" t="s">
        <v>774</v>
      </c>
      <c r="E30" s="0" t="s">
        <v>47</v>
      </c>
      <c r="F30" s="0" t="n">
        <v>6</v>
      </c>
      <c r="G30" s="0" t="s">
        <v>553</v>
      </c>
      <c r="H30" s="0" t="s">
        <v>742</v>
      </c>
      <c r="I30" s="6" t="n">
        <f aca="false">VLOOKUP(B30,M:O,3,0)</f>
        <v>0.625</v>
      </c>
      <c r="J30" s="0" t="str">
        <f aca="false">VLOOKUP(B30,M:P,4,0)</f>
        <v>AMBIVERE VIA LEOPARDI SNC</v>
      </c>
      <c r="M30" s="21" t="s">
        <v>798</v>
      </c>
      <c r="N30" s="0" t="s">
        <v>14</v>
      </c>
      <c r="O30" s="17" t="n">
        <v>0.458333333333333</v>
      </c>
      <c r="P30" s="0" t="s">
        <v>793</v>
      </c>
    </row>
    <row r="31" customFormat="false" ht="13" hidden="false" customHeight="false" outlineLevel="0" collapsed="false">
      <c r="A31" s="22" t="n">
        <v>46096</v>
      </c>
      <c r="B31" s="0" t="s">
        <v>354</v>
      </c>
      <c r="C31" s="0" t="s">
        <v>390</v>
      </c>
      <c r="D31" s="0" t="s">
        <v>774</v>
      </c>
      <c r="E31" s="0" t="s">
        <v>47</v>
      </c>
      <c r="F31" s="0" t="n">
        <v>6</v>
      </c>
      <c r="G31" s="0" t="s">
        <v>553</v>
      </c>
      <c r="H31" s="0" t="s">
        <v>742</v>
      </c>
      <c r="I31" s="6" t="n">
        <f aca="false">VLOOKUP(B31,M:O,3,0)</f>
        <v>0.385416666666667</v>
      </c>
      <c r="J31" s="0" t="str">
        <f aca="false">VLOOKUP(B31,M:P,4,0)</f>
        <v>VILLA D'ALME' VIA RONCO BASSO 15</v>
      </c>
      <c r="M31" s="21" t="s">
        <v>799</v>
      </c>
      <c r="N31" s="0" t="s">
        <v>14</v>
      </c>
      <c r="O31" s="17" t="n">
        <v>0.625</v>
      </c>
      <c r="P31" s="0" t="s">
        <v>800</v>
      </c>
    </row>
    <row r="32" customFormat="false" ht="13" hidden="false" customHeight="false" outlineLevel="0" collapsed="false">
      <c r="A32" s="22" t="n">
        <v>46102</v>
      </c>
      <c r="B32" s="0" t="s">
        <v>739</v>
      </c>
      <c r="C32" s="0" t="s">
        <v>354</v>
      </c>
      <c r="D32" s="0" t="s">
        <v>774</v>
      </c>
      <c r="E32" s="0" t="s">
        <v>47</v>
      </c>
      <c r="F32" s="0" t="n">
        <v>7</v>
      </c>
      <c r="G32" s="0" t="s">
        <v>553</v>
      </c>
      <c r="H32" s="0" t="s">
        <v>742</v>
      </c>
      <c r="I32" s="6" t="n">
        <f aca="false">VLOOKUP(B32,M:O,3,0)</f>
        <v>0.604166666666667</v>
      </c>
      <c r="J32" s="0" t="str">
        <f aca="false">VLOOKUP(B32,M:P,4,0)</f>
        <v>PALADINA VIA DEGLI ALPINI N.1</v>
      </c>
      <c r="M32" s="21" t="s">
        <v>801</v>
      </c>
      <c r="N32" s="0" t="s">
        <v>14</v>
      </c>
      <c r="O32" s="17" t="n">
        <v>0.583333333333333</v>
      </c>
      <c r="P32" s="0" t="s">
        <v>753</v>
      </c>
    </row>
    <row r="33" customFormat="false" ht="13" hidden="false" customHeight="false" outlineLevel="0" collapsed="false">
      <c r="A33" s="22" t="n">
        <v>46102</v>
      </c>
      <c r="B33" s="0" t="s">
        <v>391</v>
      </c>
      <c r="C33" s="0" t="s">
        <v>776</v>
      </c>
      <c r="D33" s="0" t="s">
        <v>774</v>
      </c>
      <c r="E33" s="0" t="s">
        <v>47</v>
      </c>
      <c r="F33" s="0" t="n">
        <v>7</v>
      </c>
      <c r="G33" s="0" t="s">
        <v>553</v>
      </c>
      <c r="H33" s="0" t="s">
        <v>742</v>
      </c>
      <c r="I33" s="6" t="n">
        <f aca="false">VLOOKUP(B33,M:O,3,0)</f>
        <v>0.458333333333333</v>
      </c>
      <c r="J33" s="0" t="str">
        <f aca="false">VLOOKUP(B33,M:P,4,0)</f>
        <v>SANT'OMOBONO TERME VIA ALLE FONTI 2</v>
      </c>
      <c r="M33" s="21" t="s">
        <v>802</v>
      </c>
      <c r="N33" s="0" t="s">
        <v>14</v>
      </c>
      <c r="O33" s="17" t="n">
        <v>0.625</v>
      </c>
      <c r="P33" s="0" t="s">
        <v>803</v>
      </c>
    </row>
    <row r="34" customFormat="false" ht="13" hidden="false" customHeight="false" outlineLevel="0" collapsed="false">
      <c r="A34" s="22" t="n">
        <v>46102</v>
      </c>
      <c r="B34" s="0" t="s">
        <v>390</v>
      </c>
      <c r="C34" s="0" t="s">
        <v>341</v>
      </c>
      <c r="D34" s="0" t="s">
        <v>774</v>
      </c>
      <c r="E34" s="0" t="s">
        <v>47</v>
      </c>
      <c r="F34" s="0" t="n">
        <v>7</v>
      </c>
      <c r="G34" s="0" t="s">
        <v>553</v>
      </c>
      <c r="H34" s="0" t="s">
        <v>742</v>
      </c>
      <c r="I34" s="6" t="n">
        <f aca="false">VLOOKUP(B34,M:O,3,0)</f>
        <v>0.614583333333333</v>
      </c>
      <c r="J34" s="0" t="str">
        <f aca="false">VLOOKUP(B34,M:P,4,0)</f>
        <v>ALME' VIA OLIMPIA 8</v>
      </c>
      <c r="M34" s="21" t="s">
        <v>804</v>
      </c>
      <c r="N34" s="0" t="s">
        <v>14</v>
      </c>
      <c r="O34" s="17" t="n">
        <v>0.625</v>
      </c>
      <c r="P34" s="0" t="s">
        <v>800</v>
      </c>
    </row>
    <row r="35" customFormat="false" ht="13" hidden="false" customHeight="false" outlineLevel="0" collapsed="false">
      <c r="A35" s="22" t="n">
        <v>46102</v>
      </c>
      <c r="B35" s="0" t="s">
        <v>420</v>
      </c>
      <c r="C35" s="0" t="s">
        <v>387</v>
      </c>
      <c r="D35" s="0" t="s">
        <v>774</v>
      </c>
      <c r="E35" s="0" t="s">
        <v>47</v>
      </c>
      <c r="F35" s="0" t="n">
        <v>7</v>
      </c>
      <c r="G35" s="0" t="s">
        <v>553</v>
      </c>
      <c r="H35" s="0" t="s">
        <v>742</v>
      </c>
      <c r="I35" s="6" t="n">
        <f aca="false">VLOOKUP(B35,M:O,3,0)</f>
        <v>0.625</v>
      </c>
      <c r="J35" s="0" t="str">
        <f aca="false">VLOOKUP(B35,M:P,4,0)</f>
        <v>AMBIVERE VIA LEOPARDI SNC</v>
      </c>
      <c r="M35" s="21" t="s">
        <v>805</v>
      </c>
      <c r="N35" s="0" t="s">
        <v>14</v>
      </c>
      <c r="O35" s="17" t="n">
        <v>0.604166666666667</v>
      </c>
      <c r="P35" s="0" t="s">
        <v>806</v>
      </c>
    </row>
    <row r="36" customFormat="false" ht="13" hidden="false" customHeight="false" outlineLevel="0" collapsed="false">
      <c r="A36" s="22" t="n">
        <v>46102</v>
      </c>
      <c r="B36" s="0" t="s">
        <v>395</v>
      </c>
      <c r="C36" s="0" t="s">
        <v>286</v>
      </c>
      <c r="D36" s="0" t="s">
        <v>774</v>
      </c>
      <c r="E36" s="0" t="s">
        <v>47</v>
      </c>
      <c r="F36" s="0" t="n">
        <v>7</v>
      </c>
      <c r="G36" s="0" t="s">
        <v>553</v>
      </c>
      <c r="H36" s="0" t="s">
        <v>742</v>
      </c>
      <c r="I36" s="6" t="n">
        <f aca="false">VLOOKUP(B36,M:O,3,0)</f>
        <v>0.604166666666667</v>
      </c>
      <c r="J36" s="0" t="str">
        <f aca="false">VLOOKUP(B36,M:P,4,0)</f>
        <v>ZOGNO VIA CAMANCHE SNC - CAMANGHE</v>
      </c>
      <c r="L36" s="0" t="s">
        <v>703</v>
      </c>
      <c r="M36" s="21" t="s">
        <v>600</v>
      </c>
      <c r="N36" s="0" t="s">
        <v>14</v>
      </c>
      <c r="O36" s="17" t="n">
        <v>0.416666666666667</v>
      </c>
      <c r="P36" s="0" t="s">
        <v>790</v>
      </c>
    </row>
    <row r="37" customFormat="false" ht="13" hidden="false" customHeight="false" outlineLevel="0" collapsed="false">
      <c r="A37" s="22" t="n">
        <v>46110</v>
      </c>
      <c r="B37" s="0" t="s">
        <v>341</v>
      </c>
      <c r="C37" s="0" t="s">
        <v>739</v>
      </c>
      <c r="D37" s="0" t="s">
        <v>774</v>
      </c>
      <c r="E37" s="0" t="s">
        <v>47</v>
      </c>
      <c r="F37" s="0" t="n">
        <v>8</v>
      </c>
      <c r="G37" s="0" t="s">
        <v>553</v>
      </c>
      <c r="H37" s="0" t="s">
        <v>742</v>
      </c>
      <c r="I37" s="6" t="n">
        <f aca="false">VLOOKUP(B37,M:O,3,0)</f>
        <v>0.395833333333333</v>
      </c>
      <c r="J37" s="0" t="str">
        <f aca="false">VLOOKUP(B37,M:P,4,0)</f>
        <v>PRESEZZO VIA OLIMPIA 3</v>
      </c>
      <c r="M37" s="21" t="s">
        <v>807</v>
      </c>
      <c r="N37" s="0" t="s">
        <v>14</v>
      </c>
      <c r="O37" s="17" t="n">
        <v>0.416666666666667</v>
      </c>
      <c r="P37" s="0" t="s">
        <v>808</v>
      </c>
    </row>
    <row r="38" customFormat="false" ht="13" hidden="false" customHeight="false" outlineLevel="0" collapsed="false">
      <c r="A38" s="22" t="n">
        <v>46109</v>
      </c>
      <c r="B38" s="0" t="s">
        <v>776</v>
      </c>
      <c r="C38" s="0" t="s">
        <v>420</v>
      </c>
      <c r="D38" s="0" t="s">
        <v>774</v>
      </c>
      <c r="E38" s="0" t="s">
        <v>47</v>
      </c>
      <c r="F38" s="0" t="n">
        <v>8</v>
      </c>
      <c r="G38" s="0" t="s">
        <v>553</v>
      </c>
      <c r="H38" s="0" t="s">
        <v>742</v>
      </c>
      <c r="I38" s="6" t="n">
        <f aca="false">VLOOKUP(B38,M:O,3,0)</f>
        <v>0.614583333333333</v>
      </c>
      <c r="J38" s="0" t="str">
        <f aca="false">VLOOKUP(B38,M:P,4,0)</f>
        <v>ALME' VIA OLIMPIA 8</v>
      </c>
      <c r="L38" s="0" t="s">
        <v>703</v>
      </c>
      <c r="M38" s="21" t="s">
        <v>809</v>
      </c>
      <c r="N38" s="0" t="s">
        <v>14</v>
      </c>
      <c r="O38" s="17" t="n">
        <v>0.458333333333333</v>
      </c>
      <c r="P38" s="0" t="s">
        <v>810</v>
      </c>
    </row>
    <row r="39" customFormat="false" ht="13" hidden="false" customHeight="false" outlineLevel="0" collapsed="false">
      <c r="A39" s="22" t="n">
        <v>46109</v>
      </c>
      <c r="B39" s="0" t="s">
        <v>286</v>
      </c>
      <c r="C39" s="0" t="s">
        <v>390</v>
      </c>
      <c r="D39" s="0" t="s">
        <v>774</v>
      </c>
      <c r="E39" s="0" t="s">
        <v>47</v>
      </c>
      <c r="F39" s="0" t="n">
        <v>8</v>
      </c>
      <c r="G39" s="0" t="s">
        <v>553</v>
      </c>
      <c r="H39" s="0" t="s">
        <v>742</v>
      </c>
      <c r="I39" s="6" t="n">
        <f aca="false">VLOOKUP(B39,M:O,3,0)</f>
        <v>0.625</v>
      </c>
      <c r="J39" s="0" t="str">
        <f aca="false">VLOOKUP(B39,M:P,4,0)</f>
        <v>PONTERANICA VIA 8 MARZO 13</v>
      </c>
      <c r="M39" s="21" t="s">
        <v>811</v>
      </c>
      <c r="N39" s="0" t="s">
        <v>69</v>
      </c>
      <c r="O39" s="17" t="n">
        <v>0.583333333333333</v>
      </c>
      <c r="P39" s="0" t="s">
        <v>812</v>
      </c>
    </row>
    <row r="40" customFormat="false" ht="13" hidden="false" customHeight="false" outlineLevel="0" collapsed="false">
      <c r="A40" s="22" t="n">
        <v>46110</v>
      </c>
      <c r="B40" s="0" t="s">
        <v>354</v>
      </c>
      <c r="C40" s="0" t="s">
        <v>391</v>
      </c>
      <c r="D40" s="0" t="s">
        <v>774</v>
      </c>
      <c r="E40" s="0" t="s">
        <v>47</v>
      </c>
      <c r="F40" s="0" t="n">
        <v>8</v>
      </c>
      <c r="G40" s="0" t="s">
        <v>553</v>
      </c>
      <c r="H40" s="0" t="s">
        <v>742</v>
      </c>
      <c r="I40" s="6" t="n">
        <f aca="false">VLOOKUP(B40,M:O,3,0)</f>
        <v>0.385416666666667</v>
      </c>
      <c r="J40" s="0" t="str">
        <f aca="false">VLOOKUP(B40,M:P,4,0)</f>
        <v>VILLA D'ALME' VIA RONCO BASSO 15</v>
      </c>
      <c r="M40" s="21" t="s">
        <v>435</v>
      </c>
      <c r="N40" s="0" t="s">
        <v>69</v>
      </c>
      <c r="O40" s="17" t="n">
        <v>0.416666666666667</v>
      </c>
      <c r="P40" s="0" t="s">
        <v>813</v>
      </c>
    </row>
    <row r="41" customFormat="false" ht="13" hidden="false" customHeight="false" outlineLevel="0" collapsed="false">
      <c r="A41" s="22" t="n">
        <v>46109</v>
      </c>
      <c r="B41" s="0" t="s">
        <v>395</v>
      </c>
      <c r="C41" s="0" t="s">
        <v>387</v>
      </c>
      <c r="D41" s="0" t="s">
        <v>774</v>
      </c>
      <c r="E41" s="0" t="s">
        <v>47</v>
      </c>
      <c r="F41" s="0" t="n">
        <v>8</v>
      </c>
      <c r="G41" s="0" t="s">
        <v>553</v>
      </c>
      <c r="H41" s="0" t="s">
        <v>742</v>
      </c>
      <c r="I41" s="6" t="n">
        <f aca="false">VLOOKUP(B41,M:O,3,0)</f>
        <v>0.604166666666667</v>
      </c>
      <c r="J41" s="0" t="str">
        <f aca="false">VLOOKUP(B41,M:P,4,0)</f>
        <v>ZOGNO VIA CAMANCHE SNC - CAMANGHE</v>
      </c>
      <c r="M41" s="21" t="s">
        <v>316</v>
      </c>
      <c r="N41" s="0" t="s">
        <v>69</v>
      </c>
      <c r="O41" s="17" t="n">
        <v>0.416666666666667</v>
      </c>
      <c r="P41" s="0" t="s">
        <v>814</v>
      </c>
    </row>
    <row r="42" customFormat="false" ht="13" hidden="false" customHeight="false" outlineLevel="0" collapsed="false">
      <c r="A42" s="22" t="n">
        <v>46123</v>
      </c>
      <c r="B42" s="0" t="s">
        <v>387</v>
      </c>
      <c r="C42" s="0" t="s">
        <v>776</v>
      </c>
      <c r="D42" s="0" t="s">
        <v>774</v>
      </c>
      <c r="E42" s="0" t="s">
        <v>47</v>
      </c>
      <c r="F42" s="0" t="n">
        <v>9</v>
      </c>
      <c r="G42" s="0" t="s">
        <v>553</v>
      </c>
      <c r="H42" s="0" t="s">
        <v>742</v>
      </c>
      <c r="I42" s="6" t="n">
        <f aca="false">VLOOKUP(B42,M:O,3,0)</f>
        <v>0.59375</v>
      </c>
      <c r="J42" s="0" t="str">
        <f aca="false">VLOOKUP(B42,M:P,4,0)</f>
        <v>MAPELLO VIA DEL LAZZARINO</v>
      </c>
      <c r="M42" s="21" t="s">
        <v>434</v>
      </c>
      <c r="N42" s="0" t="s">
        <v>69</v>
      </c>
      <c r="O42" s="17" t="n">
        <v>0.416666666666667</v>
      </c>
      <c r="P42" s="0" t="s">
        <v>815</v>
      </c>
    </row>
    <row r="43" customFormat="false" ht="13" hidden="false" customHeight="false" outlineLevel="0" collapsed="false">
      <c r="A43" s="22" t="n">
        <v>46123</v>
      </c>
      <c r="B43" s="0" t="s">
        <v>739</v>
      </c>
      <c r="C43" s="0" t="s">
        <v>286</v>
      </c>
      <c r="D43" s="0" t="s">
        <v>774</v>
      </c>
      <c r="E43" s="0" t="s">
        <v>47</v>
      </c>
      <c r="F43" s="0" t="n">
        <v>9</v>
      </c>
      <c r="G43" s="0" t="s">
        <v>553</v>
      </c>
      <c r="H43" s="0" t="s">
        <v>742</v>
      </c>
      <c r="I43" s="6" t="n">
        <f aca="false">VLOOKUP(B43,M:O,3,0)</f>
        <v>0.604166666666667</v>
      </c>
      <c r="J43" s="0" t="str">
        <f aca="false">VLOOKUP(B43,M:P,4,0)</f>
        <v>PALADINA VIA DEGLI ALPINI N.1</v>
      </c>
      <c r="M43" s="21" t="s">
        <v>442</v>
      </c>
      <c r="N43" s="0" t="s">
        <v>69</v>
      </c>
      <c r="O43" s="17" t="n">
        <v>0.395833333333333</v>
      </c>
      <c r="P43" s="0" t="s">
        <v>816</v>
      </c>
    </row>
    <row r="44" customFormat="false" ht="13" hidden="false" customHeight="false" outlineLevel="0" collapsed="false">
      <c r="A44" s="22" t="n">
        <v>46123</v>
      </c>
      <c r="B44" s="0" t="s">
        <v>391</v>
      </c>
      <c r="C44" s="0" t="s">
        <v>341</v>
      </c>
      <c r="D44" s="0" t="s">
        <v>774</v>
      </c>
      <c r="E44" s="0" t="s">
        <v>47</v>
      </c>
      <c r="F44" s="0" t="n">
        <v>9</v>
      </c>
      <c r="G44" s="0" t="s">
        <v>553</v>
      </c>
      <c r="H44" s="0" t="s">
        <v>742</v>
      </c>
      <c r="I44" s="6" t="n">
        <f aca="false">VLOOKUP(B44,M:O,3,0)</f>
        <v>0.458333333333333</v>
      </c>
      <c r="J44" s="0" t="str">
        <f aca="false">VLOOKUP(B44,M:P,4,0)</f>
        <v>SANT'OMOBONO TERME VIA ALLE FONTI 2</v>
      </c>
      <c r="M44" s="21" t="s">
        <v>817</v>
      </c>
      <c r="N44" s="0" t="s">
        <v>69</v>
      </c>
      <c r="O44" s="17" t="n">
        <v>0.625</v>
      </c>
      <c r="P44" s="0" t="s">
        <v>431</v>
      </c>
    </row>
    <row r="45" customFormat="false" ht="13" hidden="false" customHeight="false" outlineLevel="0" collapsed="false">
      <c r="A45" s="22" t="n">
        <v>46123</v>
      </c>
      <c r="B45" s="0" t="s">
        <v>390</v>
      </c>
      <c r="C45" s="0" t="s">
        <v>395</v>
      </c>
      <c r="D45" s="0" t="s">
        <v>774</v>
      </c>
      <c r="E45" s="0" t="s">
        <v>47</v>
      </c>
      <c r="F45" s="0" t="n">
        <v>9</v>
      </c>
      <c r="G45" s="0" t="s">
        <v>553</v>
      </c>
      <c r="H45" s="0" t="s">
        <v>742</v>
      </c>
      <c r="I45" s="6" t="n">
        <f aca="false">VLOOKUP(B45,M:O,3,0)</f>
        <v>0.614583333333333</v>
      </c>
      <c r="J45" s="0" t="str">
        <f aca="false">VLOOKUP(B45,M:P,4,0)</f>
        <v>ALME' VIA OLIMPIA 8</v>
      </c>
      <c r="M45" s="21" t="s">
        <v>818</v>
      </c>
      <c r="N45" s="0" t="s">
        <v>69</v>
      </c>
      <c r="O45" s="17" t="n">
        <v>0.604166666666667</v>
      </c>
      <c r="P45" s="0" t="s">
        <v>599</v>
      </c>
    </row>
    <row r="46" customFormat="false" ht="13" hidden="false" customHeight="false" outlineLevel="0" collapsed="false">
      <c r="A46" s="22" t="n">
        <v>46123</v>
      </c>
      <c r="B46" s="0" t="s">
        <v>420</v>
      </c>
      <c r="C46" s="0" t="s">
        <v>354</v>
      </c>
      <c r="D46" s="0" t="s">
        <v>774</v>
      </c>
      <c r="E46" s="0" t="s">
        <v>47</v>
      </c>
      <c r="F46" s="0" t="n">
        <v>9</v>
      </c>
      <c r="G46" s="0" t="s">
        <v>553</v>
      </c>
      <c r="H46" s="0" t="s">
        <v>290</v>
      </c>
      <c r="I46" s="6" t="n">
        <f aca="false">VLOOKUP(B46,M:O,3,0)</f>
        <v>0.625</v>
      </c>
      <c r="J46" s="0" t="str">
        <f aca="false">VLOOKUP(B46,M:P,4,0)</f>
        <v>AMBIVERE VIA LEOPARDI SNC</v>
      </c>
      <c r="M46" s="21" t="s">
        <v>559</v>
      </c>
      <c r="N46" s="0" t="s">
        <v>69</v>
      </c>
      <c r="O46" s="17" t="n">
        <v>0.604166666666667</v>
      </c>
      <c r="P46" s="0" t="s">
        <v>511</v>
      </c>
    </row>
    <row r="47" customFormat="false" ht="13" hidden="false" customHeight="false" outlineLevel="0" collapsed="false">
      <c r="A47" s="22" t="n">
        <v>46060</v>
      </c>
      <c r="B47" s="0" t="s">
        <v>781</v>
      </c>
      <c r="C47" s="0" t="s">
        <v>784</v>
      </c>
      <c r="D47" s="0" t="s">
        <v>774</v>
      </c>
      <c r="E47" s="0" t="s">
        <v>183</v>
      </c>
      <c r="F47" s="0" t="n">
        <v>1</v>
      </c>
      <c r="G47" s="0" t="s">
        <v>553</v>
      </c>
      <c r="H47" s="0" t="s">
        <v>636</v>
      </c>
      <c r="I47" s="6" t="n">
        <f aca="false">VLOOKUP(B47,M:O,3,0)</f>
        <v>0.666666666666667</v>
      </c>
      <c r="J47" s="0" t="str">
        <f aca="false">VLOOKUP(B47,M:P,4,0)</f>
        <v>ALME' VIA OLIMPIA 8</v>
      </c>
      <c r="M47" s="21" t="s">
        <v>819</v>
      </c>
      <c r="N47" s="0" t="s">
        <v>69</v>
      </c>
      <c r="O47" s="17" t="n">
        <v>0.40625</v>
      </c>
      <c r="P47" s="0" t="s">
        <v>820</v>
      </c>
    </row>
    <row r="48" customFormat="false" ht="13" hidden="false" customHeight="false" outlineLevel="0" collapsed="false">
      <c r="A48" s="22" t="n">
        <v>46060</v>
      </c>
      <c r="B48" s="0" t="s">
        <v>782</v>
      </c>
      <c r="C48" s="0" t="s">
        <v>602</v>
      </c>
      <c r="D48" s="0" t="s">
        <v>774</v>
      </c>
      <c r="E48" s="0" t="s">
        <v>183</v>
      </c>
      <c r="F48" s="0" t="n">
        <v>1</v>
      </c>
      <c r="G48" s="0" t="s">
        <v>553</v>
      </c>
      <c r="H48" s="0" t="s">
        <v>636</v>
      </c>
      <c r="I48" s="6" t="n">
        <f aca="false">VLOOKUP(B48,M:O,3,0)</f>
        <v>0.625</v>
      </c>
      <c r="J48" s="0" t="str">
        <f aca="false">VLOOKUP(B48,M:P,4,0)</f>
        <v>PONTERANICA VIA 8 MARZO 13</v>
      </c>
      <c r="M48" s="21" t="s">
        <v>821</v>
      </c>
      <c r="N48" s="0" t="s">
        <v>822</v>
      </c>
      <c r="O48" s="17" t="n">
        <v>0.416666666666667</v>
      </c>
      <c r="P48" s="0" t="s">
        <v>813</v>
      </c>
    </row>
    <row r="49" customFormat="false" ht="13" hidden="false" customHeight="false" outlineLevel="0" collapsed="false">
      <c r="A49" s="22" t="n">
        <v>46061</v>
      </c>
      <c r="B49" s="0" t="s">
        <v>666</v>
      </c>
      <c r="C49" s="0" t="s">
        <v>785</v>
      </c>
      <c r="D49" s="0" t="s">
        <v>774</v>
      </c>
      <c r="E49" s="0" t="s">
        <v>183</v>
      </c>
      <c r="F49" s="0" t="n">
        <v>1</v>
      </c>
      <c r="G49" s="0" t="s">
        <v>553</v>
      </c>
      <c r="H49" s="0" t="s">
        <v>636</v>
      </c>
      <c r="I49" s="6" t="n">
        <f aca="false">VLOOKUP(B49,M:O,3,0)</f>
        <v>0.4375</v>
      </c>
      <c r="J49" s="0" t="str">
        <f aca="false">VLOOKUP(B49,M:P,4,0)</f>
        <v>VILLA D'ALME' VIA RONCO BASSO 15</v>
      </c>
      <c r="M49" s="21" t="s">
        <v>823</v>
      </c>
      <c r="N49" s="0" t="s">
        <v>822</v>
      </c>
      <c r="O49" s="17" t="n">
        <v>0.604166666666667</v>
      </c>
      <c r="P49" s="0" t="s">
        <v>599</v>
      </c>
    </row>
    <row r="50" customFormat="false" ht="13" hidden="false" customHeight="false" outlineLevel="0" collapsed="false">
      <c r="A50" s="22" t="n">
        <v>46060</v>
      </c>
      <c r="B50" s="0" t="s">
        <v>783</v>
      </c>
      <c r="C50" s="0" t="s">
        <v>328</v>
      </c>
      <c r="D50" s="0" t="s">
        <v>774</v>
      </c>
      <c r="E50" s="0" t="s">
        <v>183</v>
      </c>
      <c r="F50" s="0" t="n">
        <v>1</v>
      </c>
      <c r="G50" s="0" t="s">
        <v>553</v>
      </c>
      <c r="H50" s="0" t="s">
        <v>636</v>
      </c>
      <c r="I50" s="6" t="n">
        <f aca="false">VLOOKUP(B50,M:O,3,0)</f>
        <v>0.604166666666667</v>
      </c>
      <c r="J50" s="0" t="str">
        <f aca="false">VLOOKUP(B50,M:P,4,0)</f>
        <v>ZOGNO VIA CAMANCHE SNC - CAMANGHE</v>
      </c>
      <c r="M50" s="21" t="s">
        <v>824</v>
      </c>
      <c r="N50" s="0" t="s">
        <v>822</v>
      </c>
      <c r="O50" s="17" t="n">
        <v>0.666666666666667</v>
      </c>
      <c r="P50" s="0" t="s">
        <v>825</v>
      </c>
    </row>
    <row r="51" customFormat="false" ht="13" hidden="false" customHeight="false" outlineLevel="0" collapsed="false">
      <c r="A51" s="22" t="n">
        <v>46067</v>
      </c>
      <c r="B51" s="0" t="s">
        <v>784</v>
      </c>
      <c r="C51" s="0" t="s">
        <v>666</v>
      </c>
      <c r="D51" s="0" t="s">
        <v>774</v>
      </c>
      <c r="E51" s="0" t="s">
        <v>183</v>
      </c>
      <c r="F51" s="0" t="n">
        <v>2</v>
      </c>
      <c r="G51" s="0" t="s">
        <v>553</v>
      </c>
      <c r="H51" s="0" t="s">
        <v>636</v>
      </c>
      <c r="I51" s="6" t="n">
        <f aca="false">VLOOKUP(B51,M:O,3,0)</f>
        <v>0.59375</v>
      </c>
      <c r="J51" s="0" t="str">
        <f aca="false">VLOOKUP(B51,M:P,4,0)</f>
        <v>MAPELLO VIA DEL LAZZARINO</v>
      </c>
      <c r="M51" s="21" t="s">
        <v>826</v>
      </c>
      <c r="N51" s="0" t="s">
        <v>822</v>
      </c>
      <c r="O51" s="17" t="n">
        <v>0.604166666666667</v>
      </c>
      <c r="P51" s="0" t="s">
        <v>827</v>
      </c>
    </row>
    <row r="52" customFormat="false" ht="13" hidden="false" customHeight="false" outlineLevel="0" collapsed="false">
      <c r="A52" s="22" t="n">
        <v>46067</v>
      </c>
      <c r="B52" s="0" t="s">
        <v>328</v>
      </c>
      <c r="C52" s="0" t="s">
        <v>781</v>
      </c>
      <c r="D52" s="0" t="s">
        <v>774</v>
      </c>
      <c r="E52" s="0" t="s">
        <v>183</v>
      </c>
      <c r="F52" s="0" t="n">
        <v>2</v>
      </c>
      <c r="G52" s="0" t="s">
        <v>553</v>
      </c>
      <c r="H52" s="0" t="s">
        <v>636</v>
      </c>
      <c r="I52" s="6" t="n">
        <f aca="false">VLOOKUP(B52,M:O,3,0)</f>
        <v>0.59375</v>
      </c>
      <c r="J52" s="0" t="str">
        <f aca="false">VLOOKUP(B52,M:P,4,0)</f>
        <v>MAPELLO VIA DEL LAZZARINO</v>
      </c>
      <c r="M52" s="21" t="s">
        <v>715</v>
      </c>
      <c r="N52" s="0" t="s">
        <v>822</v>
      </c>
      <c r="O52" s="17" t="n">
        <v>0.604166666666667</v>
      </c>
      <c r="P52" s="0" t="s">
        <v>828</v>
      </c>
    </row>
    <row r="53" customFormat="false" ht="13" hidden="false" customHeight="false" outlineLevel="0" collapsed="false">
      <c r="A53" s="22" t="n">
        <v>46067</v>
      </c>
      <c r="B53" s="0" t="s">
        <v>602</v>
      </c>
      <c r="C53" s="0" t="s">
        <v>783</v>
      </c>
      <c r="D53" s="0" t="s">
        <v>774</v>
      </c>
      <c r="E53" s="0" t="s">
        <v>183</v>
      </c>
      <c r="F53" s="0" t="n">
        <v>2</v>
      </c>
      <c r="G53" s="0" t="s">
        <v>553</v>
      </c>
      <c r="H53" s="0" t="s">
        <v>636</v>
      </c>
      <c r="I53" s="6" t="n">
        <f aca="false">VLOOKUP(B53,M:O,3,0)</f>
        <v>0.416666666666667</v>
      </c>
      <c r="J53" s="0" t="str">
        <f aca="false">VLOOKUP(B53,M:P,4,0)</f>
        <v>SANT'OMOBONO TERME VIA ALLE FONTI 2</v>
      </c>
      <c r="M53" s="21" t="s">
        <v>829</v>
      </c>
      <c r="N53" s="0" t="s">
        <v>822</v>
      </c>
      <c r="O53" s="17" t="n">
        <v>0.416666666666667</v>
      </c>
      <c r="P53" s="0" t="s">
        <v>403</v>
      </c>
    </row>
    <row r="54" customFormat="false" ht="13" hidden="false" customHeight="false" outlineLevel="0" collapsed="false">
      <c r="A54" s="22" t="n">
        <v>46067</v>
      </c>
      <c r="B54" s="0" t="s">
        <v>785</v>
      </c>
      <c r="C54" s="0" t="s">
        <v>786</v>
      </c>
      <c r="D54" s="0" t="s">
        <v>774</v>
      </c>
      <c r="E54" s="0" t="s">
        <v>183</v>
      </c>
      <c r="F54" s="0" t="n">
        <v>2</v>
      </c>
      <c r="G54" s="0" t="s">
        <v>553</v>
      </c>
      <c r="H54" s="0" t="s">
        <v>636</v>
      </c>
      <c r="I54" s="6" t="n">
        <f aca="false">VLOOKUP(B54,M:O,3,0)</f>
        <v>0.666666666666667</v>
      </c>
      <c r="J54" s="0" t="str">
        <f aca="false">VLOOKUP(B54,M:P,4,0)</f>
        <v>ALME' VIA OLIMPIA 8</v>
      </c>
      <c r="M54" s="21" t="s">
        <v>830</v>
      </c>
      <c r="N54" s="0" t="s">
        <v>822</v>
      </c>
      <c r="O54" s="17" t="n">
        <v>0.604166666666667</v>
      </c>
      <c r="P54" s="0" t="s">
        <v>831</v>
      </c>
    </row>
    <row r="55" customFormat="false" ht="13" hidden="false" customHeight="false" outlineLevel="0" collapsed="false">
      <c r="A55" s="22" t="n">
        <v>46074</v>
      </c>
      <c r="B55" s="0" t="s">
        <v>328</v>
      </c>
      <c r="C55" s="0" t="s">
        <v>784</v>
      </c>
      <c r="D55" s="0" t="s">
        <v>774</v>
      </c>
      <c r="E55" s="0" t="s">
        <v>183</v>
      </c>
      <c r="F55" s="0" t="n">
        <v>3</v>
      </c>
      <c r="G55" s="0" t="s">
        <v>553</v>
      </c>
      <c r="H55" s="0" t="s">
        <v>636</v>
      </c>
      <c r="I55" s="6" t="n">
        <f aca="false">VLOOKUP(B55,M:O,3,0)</f>
        <v>0.59375</v>
      </c>
      <c r="J55" s="0" t="str">
        <f aca="false">VLOOKUP(B55,M:P,4,0)</f>
        <v>MAPELLO VIA DEL LAZZARINO</v>
      </c>
      <c r="M55" s="21" t="s">
        <v>832</v>
      </c>
      <c r="N55" s="0" t="s">
        <v>822</v>
      </c>
      <c r="O55" s="17" t="n">
        <v>0.583333333333333</v>
      </c>
      <c r="P55" s="0" t="s">
        <v>833</v>
      </c>
    </row>
    <row r="56" customFormat="false" ht="13" hidden="false" customHeight="false" outlineLevel="0" collapsed="false">
      <c r="A56" s="22" t="n">
        <v>46074</v>
      </c>
      <c r="B56" s="0" t="s">
        <v>786</v>
      </c>
      <c r="C56" s="0" t="s">
        <v>666</v>
      </c>
      <c r="D56" s="0" t="s">
        <v>774</v>
      </c>
      <c r="E56" s="0" t="s">
        <v>183</v>
      </c>
      <c r="F56" s="0" t="n">
        <v>3</v>
      </c>
      <c r="G56" s="0" t="s">
        <v>553</v>
      </c>
      <c r="H56" s="0" t="s">
        <v>636</v>
      </c>
      <c r="I56" s="6" t="n">
        <f aca="false">VLOOKUP(B56,M:O,3,0)</f>
        <v>0.604166666666667</v>
      </c>
      <c r="J56" s="0" t="str">
        <f aca="false">VLOOKUP(B56,M:P,4,0)</f>
        <v>PALADINA VIA DEGLI ALPINI N.1</v>
      </c>
      <c r="M56" s="21" t="s">
        <v>834</v>
      </c>
      <c r="N56" s="0" t="s">
        <v>822</v>
      </c>
      <c r="O56" s="17" t="n">
        <v>0.666666666666667</v>
      </c>
      <c r="P56" s="0" t="s">
        <v>812</v>
      </c>
    </row>
    <row r="57" customFormat="false" ht="13" hidden="false" customHeight="false" outlineLevel="0" collapsed="false">
      <c r="A57" s="22" t="n">
        <v>46074</v>
      </c>
      <c r="B57" s="0" t="s">
        <v>781</v>
      </c>
      <c r="C57" s="0" t="s">
        <v>602</v>
      </c>
      <c r="D57" s="0" t="s">
        <v>774</v>
      </c>
      <c r="E57" s="0" t="s">
        <v>183</v>
      </c>
      <c r="F57" s="0" t="n">
        <v>3</v>
      </c>
      <c r="G57" s="0" t="s">
        <v>553</v>
      </c>
      <c r="H57" s="0" t="s">
        <v>636</v>
      </c>
      <c r="I57" s="6" t="n">
        <f aca="false">VLOOKUP(B57,M:O,3,0)</f>
        <v>0.666666666666667</v>
      </c>
      <c r="J57" s="0" t="str">
        <f aca="false">VLOOKUP(B57,M:P,4,0)</f>
        <v>ALME' VIA OLIMPIA 8</v>
      </c>
      <c r="M57" s="21" t="s">
        <v>835</v>
      </c>
      <c r="N57" s="0" t="s">
        <v>836</v>
      </c>
      <c r="O57" s="17" t="n">
        <v>0.458333333333333</v>
      </c>
      <c r="P57" s="0" t="s">
        <v>837</v>
      </c>
    </row>
    <row r="58" customFormat="false" ht="13" hidden="false" customHeight="false" outlineLevel="0" collapsed="false">
      <c r="A58" s="22" t="n">
        <v>46074</v>
      </c>
      <c r="B58" s="0" t="s">
        <v>782</v>
      </c>
      <c r="C58" s="0" t="s">
        <v>785</v>
      </c>
      <c r="D58" s="0" t="s">
        <v>774</v>
      </c>
      <c r="E58" s="0" t="s">
        <v>183</v>
      </c>
      <c r="F58" s="0" t="n">
        <v>3</v>
      </c>
      <c r="G58" s="0" t="s">
        <v>553</v>
      </c>
      <c r="H58" s="0" t="s">
        <v>636</v>
      </c>
      <c r="I58" s="6" t="n">
        <f aca="false">VLOOKUP(B58,M:O,3,0)</f>
        <v>0.625</v>
      </c>
      <c r="J58" s="0" t="str">
        <f aca="false">VLOOKUP(B58,M:P,4,0)</f>
        <v>PONTERANICA VIA 8 MARZO 13</v>
      </c>
      <c r="M58" s="21" t="s">
        <v>321</v>
      </c>
      <c r="N58" s="0" t="s">
        <v>836</v>
      </c>
      <c r="O58" s="17" t="n">
        <v>0.416666666666667</v>
      </c>
      <c r="P58" s="0" t="s">
        <v>727</v>
      </c>
    </row>
    <row r="59" customFormat="false" ht="13" hidden="false" customHeight="false" outlineLevel="0" collapsed="false">
      <c r="A59" s="22" t="n">
        <v>46081</v>
      </c>
      <c r="B59" s="0" t="s">
        <v>784</v>
      </c>
      <c r="C59" s="0" t="s">
        <v>786</v>
      </c>
      <c r="D59" s="0" t="s">
        <v>774</v>
      </c>
      <c r="E59" s="0" t="s">
        <v>183</v>
      </c>
      <c r="F59" s="0" t="n">
        <v>4</v>
      </c>
      <c r="G59" s="0" t="s">
        <v>553</v>
      </c>
      <c r="H59" s="0" t="s">
        <v>636</v>
      </c>
      <c r="I59" s="6" t="n">
        <f aca="false">VLOOKUP(B59,M:O,3,0)</f>
        <v>0.59375</v>
      </c>
      <c r="J59" s="0" t="str">
        <f aca="false">VLOOKUP(B59,M:P,4,0)</f>
        <v>MAPELLO VIA DEL LAZZARINO</v>
      </c>
      <c r="M59" s="21" t="s">
        <v>838</v>
      </c>
      <c r="N59" s="0" t="s">
        <v>836</v>
      </c>
      <c r="O59" s="17" t="n">
        <v>0.583333333333333</v>
      </c>
      <c r="P59" s="0" t="s">
        <v>839</v>
      </c>
    </row>
    <row r="60" customFormat="false" ht="13" hidden="false" customHeight="false" outlineLevel="0" collapsed="false">
      <c r="A60" s="22" t="n">
        <v>46081</v>
      </c>
      <c r="B60" s="0" t="s">
        <v>602</v>
      </c>
      <c r="C60" s="0" t="s">
        <v>328</v>
      </c>
      <c r="D60" s="0" t="s">
        <v>774</v>
      </c>
      <c r="E60" s="0" t="s">
        <v>183</v>
      </c>
      <c r="F60" s="0" t="n">
        <v>4</v>
      </c>
      <c r="G60" s="0" t="s">
        <v>553</v>
      </c>
      <c r="H60" s="0" t="s">
        <v>636</v>
      </c>
      <c r="I60" s="6" t="n">
        <f aca="false">VLOOKUP(B60,M:O,3,0)</f>
        <v>0.416666666666667</v>
      </c>
      <c r="J60" s="0" t="str">
        <f aca="false">VLOOKUP(B60,M:P,4,0)</f>
        <v>SANT'OMOBONO TERME VIA ALLE FONTI 2</v>
      </c>
      <c r="M60" s="21" t="s">
        <v>840</v>
      </c>
      <c r="N60" s="0" t="s">
        <v>836</v>
      </c>
      <c r="O60" s="17" t="n">
        <v>0.65625</v>
      </c>
      <c r="P60" s="0" t="s">
        <v>841</v>
      </c>
    </row>
    <row r="61" customFormat="false" ht="13" hidden="false" customHeight="false" outlineLevel="0" collapsed="false">
      <c r="A61" s="22" t="n">
        <v>46081</v>
      </c>
      <c r="B61" s="0" t="s">
        <v>785</v>
      </c>
      <c r="C61" s="0" t="s">
        <v>783</v>
      </c>
      <c r="D61" s="0" t="s">
        <v>774</v>
      </c>
      <c r="E61" s="0" t="s">
        <v>183</v>
      </c>
      <c r="F61" s="0" t="n">
        <v>4</v>
      </c>
      <c r="G61" s="0" t="s">
        <v>553</v>
      </c>
      <c r="H61" s="0" t="s">
        <v>636</v>
      </c>
      <c r="I61" s="6" t="n">
        <f aca="false">VLOOKUP(B61,M:O,3,0)</f>
        <v>0.666666666666667</v>
      </c>
      <c r="J61" s="0" t="str">
        <f aca="false">VLOOKUP(B61,M:P,4,0)</f>
        <v>ALME' VIA OLIMPIA 8</v>
      </c>
      <c r="M61" s="21" t="s">
        <v>842</v>
      </c>
      <c r="N61" s="0" t="s">
        <v>836</v>
      </c>
      <c r="O61" s="17" t="n">
        <v>0.6875</v>
      </c>
      <c r="P61" s="0" t="s">
        <v>431</v>
      </c>
    </row>
    <row r="62" customFormat="false" ht="13" hidden="false" customHeight="false" outlineLevel="0" collapsed="false">
      <c r="A62" s="22" t="n">
        <v>46082</v>
      </c>
      <c r="B62" s="0" t="s">
        <v>666</v>
      </c>
      <c r="C62" s="0" t="s">
        <v>782</v>
      </c>
      <c r="D62" s="0" t="s">
        <v>774</v>
      </c>
      <c r="E62" s="0" t="s">
        <v>183</v>
      </c>
      <c r="F62" s="0" t="n">
        <v>4</v>
      </c>
      <c r="G62" s="0" t="s">
        <v>553</v>
      </c>
      <c r="H62" s="0" t="s">
        <v>636</v>
      </c>
      <c r="I62" s="6" t="n">
        <f aca="false">VLOOKUP(B62,M:O,3,0)</f>
        <v>0.4375</v>
      </c>
      <c r="J62" s="0" t="str">
        <f aca="false">VLOOKUP(B62,M:P,4,0)</f>
        <v>VILLA D'ALME' VIA RONCO BASSO 15</v>
      </c>
      <c r="M62" s="21" t="s">
        <v>843</v>
      </c>
      <c r="N62" s="0" t="s">
        <v>836</v>
      </c>
      <c r="O62" s="17" t="n">
        <v>0.59375</v>
      </c>
      <c r="P62" s="0" t="s">
        <v>844</v>
      </c>
    </row>
    <row r="63" customFormat="false" ht="13" hidden="false" customHeight="false" outlineLevel="0" collapsed="false">
      <c r="A63" s="22" t="n">
        <v>46088</v>
      </c>
      <c r="B63" s="0" t="s">
        <v>602</v>
      </c>
      <c r="C63" s="0" t="s">
        <v>784</v>
      </c>
      <c r="D63" s="0" t="s">
        <v>774</v>
      </c>
      <c r="E63" s="0" t="s">
        <v>183</v>
      </c>
      <c r="F63" s="0" t="n">
        <v>5</v>
      </c>
      <c r="G63" s="0" t="s">
        <v>553</v>
      </c>
      <c r="H63" s="0" t="s">
        <v>636</v>
      </c>
      <c r="I63" s="6" t="n">
        <f aca="false">VLOOKUP(B63,M:O,3,0)</f>
        <v>0.416666666666667</v>
      </c>
      <c r="J63" s="0" t="str">
        <f aca="false">VLOOKUP(B63,M:P,4,0)</f>
        <v>SANT'OMOBONO TERME VIA ALLE FONTI 2</v>
      </c>
      <c r="L63" s="0" t="s">
        <v>703</v>
      </c>
      <c r="M63" s="21" t="s">
        <v>845</v>
      </c>
      <c r="N63" s="0" t="s">
        <v>836</v>
      </c>
      <c r="O63" s="17" t="n">
        <v>0.416666666666667</v>
      </c>
      <c r="P63" s="0" t="s">
        <v>846</v>
      </c>
    </row>
    <row r="64" customFormat="false" ht="13" hidden="false" customHeight="false" outlineLevel="0" collapsed="false">
      <c r="A64" s="22" t="n">
        <v>46088</v>
      </c>
      <c r="B64" s="0" t="s">
        <v>781</v>
      </c>
      <c r="C64" s="0" t="s">
        <v>785</v>
      </c>
      <c r="D64" s="0" t="s">
        <v>774</v>
      </c>
      <c r="E64" s="0" t="s">
        <v>183</v>
      </c>
      <c r="F64" s="0" t="n">
        <v>5</v>
      </c>
      <c r="G64" s="0" t="s">
        <v>553</v>
      </c>
      <c r="H64" s="0" t="s">
        <v>636</v>
      </c>
      <c r="I64" s="6" t="n">
        <f aca="false">VLOOKUP(B64,M:O,3,0)</f>
        <v>0.666666666666667</v>
      </c>
      <c r="J64" s="0" t="str">
        <f aca="false">VLOOKUP(B64,M:P,4,0)</f>
        <v>ALME' VIA OLIMPIA 8</v>
      </c>
      <c r="M64" s="21" t="s">
        <v>320</v>
      </c>
      <c r="N64" s="0" t="s">
        <v>836</v>
      </c>
      <c r="O64" s="17" t="n">
        <v>0.604166666666667</v>
      </c>
      <c r="P64" s="0" t="s">
        <v>847</v>
      </c>
    </row>
    <row r="65" customFormat="false" ht="13" hidden="false" customHeight="false" outlineLevel="0" collapsed="false">
      <c r="A65" s="22" t="n">
        <v>46088</v>
      </c>
      <c r="B65" s="0" t="s">
        <v>782</v>
      </c>
      <c r="C65" s="0" t="s">
        <v>786</v>
      </c>
      <c r="D65" s="0" t="s">
        <v>774</v>
      </c>
      <c r="E65" s="0" t="s">
        <v>183</v>
      </c>
      <c r="F65" s="0" t="n">
        <v>5</v>
      </c>
      <c r="G65" s="0" t="s">
        <v>553</v>
      </c>
      <c r="H65" s="0" t="s">
        <v>636</v>
      </c>
      <c r="I65" s="6" t="n">
        <f aca="false">VLOOKUP(B65,M:O,3,0)</f>
        <v>0.625</v>
      </c>
      <c r="J65" s="0" t="str">
        <f aca="false">VLOOKUP(B65,M:P,4,0)</f>
        <v>PONTERANICA VIA 8 MARZO 13</v>
      </c>
      <c r="M65" s="21" t="s">
        <v>848</v>
      </c>
      <c r="N65" s="0" t="s">
        <v>836</v>
      </c>
      <c r="O65" s="17" t="n">
        <v>0.604166666666667</v>
      </c>
      <c r="P65" s="0" t="s">
        <v>849</v>
      </c>
    </row>
    <row r="66" customFormat="false" ht="12.5" hidden="false" customHeight="false" outlineLevel="0" collapsed="false">
      <c r="A66" s="22" t="n">
        <v>46088</v>
      </c>
      <c r="B66" s="0" t="s">
        <v>783</v>
      </c>
      <c r="C66" s="0" t="s">
        <v>666</v>
      </c>
      <c r="D66" s="0" t="s">
        <v>774</v>
      </c>
      <c r="E66" s="0" t="s">
        <v>183</v>
      </c>
      <c r="F66" s="0" t="n">
        <v>5</v>
      </c>
      <c r="G66" s="0" t="s">
        <v>553</v>
      </c>
      <c r="H66" s="0" t="s">
        <v>636</v>
      </c>
      <c r="I66" s="6" t="n">
        <f aca="false">VLOOKUP(B66,M:O,3,0)</f>
        <v>0.604166666666667</v>
      </c>
      <c r="J66" s="0" t="str">
        <f aca="false">VLOOKUP(B66,M:P,4,0)</f>
        <v>ZOGNO VIA CAMANCHE SNC - CAMANGHE</v>
      </c>
    </row>
    <row r="67" customFormat="false" ht="12.5" hidden="false" customHeight="false" outlineLevel="0" collapsed="false">
      <c r="A67" s="22" t="n">
        <v>46095</v>
      </c>
      <c r="B67" s="0" t="s">
        <v>784</v>
      </c>
      <c r="C67" s="0" t="s">
        <v>782</v>
      </c>
      <c r="D67" s="0" t="s">
        <v>774</v>
      </c>
      <c r="E67" s="0" t="s">
        <v>183</v>
      </c>
      <c r="F67" s="0" t="n">
        <v>6</v>
      </c>
      <c r="G67" s="0" t="s">
        <v>553</v>
      </c>
      <c r="H67" s="0" t="s">
        <v>636</v>
      </c>
      <c r="I67" s="6" t="n">
        <f aca="false">VLOOKUP(B67,M:O,3,0)</f>
        <v>0.59375</v>
      </c>
      <c r="J67" s="0" t="str">
        <f aca="false">VLOOKUP(B67,M:P,4,0)</f>
        <v>MAPELLO VIA DEL LAZZARINO</v>
      </c>
    </row>
    <row r="68" customFormat="false" ht="12.5" hidden="false" customHeight="false" outlineLevel="0" collapsed="false">
      <c r="A68" s="22" t="n">
        <v>46095</v>
      </c>
      <c r="B68" s="0" t="s">
        <v>786</v>
      </c>
      <c r="C68" s="0" t="s">
        <v>783</v>
      </c>
      <c r="D68" s="0" t="s">
        <v>774</v>
      </c>
      <c r="E68" s="0" t="s">
        <v>183</v>
      </c>
      <c r="F68" s="0" t="n">
        <v>6</v>
      </c>
      <c r="G68" s="0" t="s">
        <v>553</v>
      </c>
      <c r="H68" s="0" t="s">
        <v>636</v>
      </c>
      <c r="I68" s="6" t="n">
        <f aca="false">VLOOKUP(B68,M:O,3,0)</f>
        <v>0.604166666666667</v>
      </c>
      <c r="J68" s="0" t="str">
        <f aca="false">VLOOKUP(B68,M:P,4,0)</f>
        <v>PALADINA VIA DEGLI ALPINI N.1</v>
      </c>
    </row>
    <row r="69" customFormat="false" ht="12.5" hidden="false" customHeight="false" outlineLevel="0" collapsed="false">
      <c r="A69" s="22" t="n">
        <v>46096</v>
      </c>
      <c r="B69" s="0" t="s">
        <v>666</v>
      </c>
      <c r="C69" s="0" t="s">
        <v>781</v>
      </c>
      <c r="D69" s="0" t="s">
        <v>774</v>
      </c>
      <c r="E69" s="0" t="s">
        <v>183</v>
      </c>
      <c r="F69" s="0" t="n">
        <v>6</v>
      </c>
      <c r="G69" s="0" t="s">
        <v>553</v>
      </c>
      <c r="H69" s="0" t="s">
        <v>636</v>
      </c>
      <c r="I69" s="6" t="n">
        <f aca="false">VLOOKUP(B69,M:O,3,0)</f>
        <v>0.4375</v>
      </c>
      <c r="J69" s="0" t="str">
        <f aca="false">VLOOKUP(B69,M:P,4,0)</f>
        <v>VILLA D'ALME' VIA RONCO BASSO 15</v>
      </c>
    </row>
    <row r="70" customFormat="false" ht="12.5" hidden="false" customHeight="false" outlineLevel="0" collapsed="false">
      <c r="A70" s="22" t="n">
        <v>46095</v>
      </c>
      <c r="B70" s="0" t="s">
        <v>785</v>
      </c>
      <c r="C70" s="0" t="s">
        <v>328</v>
      </c>
      <c r="D70" s="0" t="s">
        <v>774</v>
      </c>
      <c r="E70" s="0" t="s">
        <v>364</v>
      </c>
      <c r="F70" s="0" t="n">
        <v>6</v>
      </c>
      <c r="G70" s="0" t="s">
        <v>553</v>
      </c>
      <c r="H70" s="0" t="s">
        <v>636</v>
      </c>
      <c r="I70" s="6" t="n">
        <f aca="false">VLOOKUP(B70,M:O,3,0)</f>
        <v>0.666666666666667</v>
      </c>
      <c r="J70" s="0" t="str">
        <f aca="false">VLOOKUP(B70,M:P,4,0)</f>
        <v>ALME' VIA OLIMPIA 8</v>
      </c>
    </row>
    <row r="71" customFormat="false" ht="12.5" hidden="false" customHeight="false" outlineLevel="0" collapsed="false">
      <c r="A71" s="22" t="n">
        <v>46102</v>
      </c>
      <c r="B71" s="0" t="s">
        <v>328</v>
      </c>
      <c r="C71" s="0" t="s">
        <v>666</v>
      </c>
      <c r="D71" s="0" t="s">
        <v>774</v>
      </c>
      <c r="E71" s="0" t="s">
        <v>183</v>
      </c>
      <c r="F71" s="0" t="n">
        <v>7</v>
      </c>
      <c r="G71" s="0" t="s">
        <v>553</v>
      </c>
      <c r="H71" s="0" t="s">
        <v>636</v>
      </c>
      <c r="I71" s="6" t="n">
        <f aca="false">VLOOKUP(B71,M:O,3,0)</f>
        <v>0.59375</v>
      </c>
      <c r="J71" s="0" t="str">
        <f aca="false">VLOOKUP(B71,M:P,4,0)</f>
        <v>MAPELLO VIA DEL LAZZARINO</v>
      </c>
    </row>
    <row r="72" customFormat="false" ht="12.5" hidden="false" customHeight="false" outlineLevel="0" collapsed="false">
      <c r="A72" s="22" t="n">
        <v>46102</v>
      </c>
      <c r="B72" s="0" t="s">
        <v>602</v>
      </c>
      <c r="C72" s="0" t="s">
        <v>785</v>
      </c>
      <c r="D72" s="0" t="s">
        <v>774</v>
      </c>
      <c r="E72" s="0" t="s">
        <v>183</v>
      </c>
      <c r="F72" s="0" t="n">
        <v>7</v>
      </c>
      <c r="G72" s="0" t="s">
        <v>553</v>
      </c>
      <c r="H72" s="0" t="s">
        <v>636</v>
      </c>
      <c r="I72" s="6" t="n">
        <f aca="false">VLOOKUP(B72,M:O,3,0)</f>
        <v>0.416666666666667</v>
      </c>
      <c r="J72" s="0" t="str">
        <f aca="false">VLOOKUP(B72,M:P,4,0)</f>
        <v>SANT'OMOBONO TERME VIA ALLE FONTI 2</v>
      </c>
    </row>
    <row r="73" customFormat="false" ht="12.5" hidden="false" customHeight="false" outlineLevel="0" collapsed="false">
      <c r="A73" s="22" t="n">
        <v>46102</v>
      </c>
      <c r="B73" s="0" t="s">
        <v>781</v>
      </c>
      <c r="C73" s="0" t="s">
        <v>786</v>
      </c>
      <c r="D73" s="0" t="s">
        <v>774</v>
      </c>
      <c r="E73" s="0" t="s">
        <v>183</v>
      </c>
      <c r="F73" s="0" t="n">
        <v>7</v>
      </c>
      <c r="G73" s="0" t="s">
        <v>553</v>
      </c>
      <c r="H73" s="0" t="s">
        <v>636</v>
      </c>
      <c r="I73" s="6" t="n">
        <f aca="false">VLOOKUP(B73,M:O,3,0)</f>
        <v>0.666666666666667</v>
      </c>
      <c r="J73" s="0" t="str">
        <f aca="false">VLOOKUP(B73,M:P,4,0)</f>
        <v>ALME' VIA OLIMPIA 8</v>
      </c>
    </row>
    <row r="74" customFormat="false" ht="12.5" hidden="false" customHeight="false" outlineLevel="0" collapsed="false">
      <c r="A74" s="22" t="n">
        <v>46102</v>
      </c>
      <c r="B74" s="0" t="s">
        <v>783</v>
      </c>
      <c r="C74" s="0" t="s">
        <v>782</v>
      </c>
      <c r="D74" s="0" t="s">
        <v>774</v>
      </c>
      <c r="E74" s="0" t="s">
        <v>183</v>
      </c>
      <c r="F74" s="0" t="n">
        <v>7</v>
      </c>
      <c r="G74" s="0" t="s">
        <v>553</v>
      </c>
      <c r="H74" s="0" t="s">
        <v>636</v>
      </c>
      <c r="I74" s="6" t="n">
        <f aca="false">VLOOKUP(B74,M:O,3,0)</f>
        <v>0.604166666666667</v>
      </c>
      <c r="J74" s="0" t="str">
        <f aca="false">VLOOKUP(B74,M:P,4,0)</f>
        <v>ZOGNO VIA CAMANCHE SNC - CAMANGHE</v>
      </c>
    </row>
    <row r="75" customFormat="false" ht="12.5" hidden="false" customHeight="false" outlineLevel="0" collapsed="false">
      <c r="A75" s="22" t="n">
        <v>46109</v>
      </c>
      <c r="B75" s="0" t="s">
        <v>786</v>
      </c>
      <c r="C75" s="0" t="s">
        <v>328</v>
      </c>
      <c r="D75" s="0" t="s">
        <v>774</v>
      </c>
      <c r="E75" s="0" t="s">
        <v>183</v>
      </c>
      <c r="F75" s="0" t="n">
        <v>8</v>
      </c>
      <c r="G75" s="0" t="s">
        <v>553</v>
      </c>
      <c r="H75" s="0" t="s">
        <v>636</v>
      </c>
      <c r="I75" s="6" t="n">
        <f aca="false">VLOOKUP(B75,M:O,3,0)</f>
        <v>0.604166666666667</v>
      </c>
      <c r="J75" s="0" t="str">
        <f aca="false">VLOOKUP(B75,M:P,4,0)</f>
        <v>PALADINA VIA DEGLI ALPINI N.1</v>
      </c>
    </row>
    <row r="76" customFormat="false" ht="12.5" hidden="false" customHeight="false" outlineLevel="0" collapsed="false">
      <c r="A76" s="22" t="n">
        <v>46109</v>
      </c>
      <c r="B76" s="0" t="s">
        <v>782</v>
      </c>
      <c r="C76" s="0" t="s">
        <v>781</v>
      </c>
      <c r="D76" s="0" t="s">
        <v>774</v>
      </c>
      <c r="E76" s="0" t="s">
        <v>183</v>
      </c>
      <c r="F76" s="0" t="n">
        <v>8</v>
      </c>
      <c r="G76" s="0" t="s">
        <v>553</v>
      </c>
      <c r="H76" s="0" t="s">
        <v>636</v>
      </c>
      <c r="I76" s="6" t="n">
        <f aca="false">VLOOKUP(B76,M:O,3,0)</f>
        <v>0.625</v>
      </c>
      <c r="J76" s="0" t="str">
        <f aca="false">VLOOKUP(B76,M:P,4,0)</f>
        <v>PONTERANICA VIA 8 MARZO 13</v>
      </c>
    </row>
    <row r="77" customFormat="false" ht="12.5" hidden="false" customHeight="false" outlineLevel="0" collapsed="false">
      <c r="A77" s="22" t="n">
        <v>46110</v>
      </c>
      <c r="B77" s="0" t="s">
        <v>666</v>
      </c>
      <c r="C77" s="0" t="s">
        <v>602</v>
      </c>
      <c r="D77" s="0" t="s">
        <v>774</v>
      </c>
      <c r="E77" s="0" t="s">
        <v>183</v>
      </c>
      <c r="F77" s="0" t="n">
        <v>8</v>
      </c>
      <c r="G77" s="0" t="s">
        <v>553</v>
      </c>
      <c r="H77" s="0" t="s">
        <v>636</v>
      </c>
      <c r="I77" s="6" t="n">
        <f aca="false">VLOOKUP(B77,M:O,3,0)</f>
        <v>0.4375</v>
      </c>
      <c r="J77" s="0" t="str">
        <f aca="false">VLOOKUP(B77,M:P,4,0)</f>
        <v>VILLA D'ALME' VIA RONCO BASSO 15</v>
      </c>
    </row>
    <row r="78" customFormat="false" ht="12.5" hidden="false" customHeight="false" outlineLevel="0" collapsed="false">
      <c r="A78" s="22" t="n">
        <v>46109</v>
      </c>
      <c r="B78" s="0" t="s">
        <v>783</v>
      </c>
      <c r="C78" s="0" t="s">
        <v>784</v>
      </c>
      <c r="D78" s="0" t="s">
        <v>774</v>
      </c>
      <c r="E78" s="0" t="s">
        <v>183</v>
      </c>
      <c r="F78" s="0" t="n">
        <v>8</v>
      </c>
      <c r="G78" s="0" t="s">
        <v>553</v>
      </c>
      <c r="H78" s="0" t="s">
        <v>636</v>
      </c>
      <c r="I78" s="6" t="n">
        <f aca="false">VLOOKUP(B78,M:O,3,0)</f>
        <v>0.604166666666667</v>
      </c>
      <c r="J78" s="0" t="str">
        <f aca="false">VLOOKUP(B78,M:P,4,0)</f>
        <v>ZOGNO VIA CAMANCHE SNC - CAMANGHE</v>
      </c>
    </row>
    <row r="79" customFormat="false" ht="12.5" hidden="false" customHeight="false" outlineLevel="0" collapsed="false">
      <c r="A79" s="22" t="n">
        <v>46123</v>
      </c>
      <c r="B79" s="0" t="s">
        <v>784</v>
      </c>
      <c r="C79" s="0" t="s">
        <v>785</v>
      </c>
      <c r="D79" s="0" t="s">
        <v>774</v>
      </c>
      <c r="E79" s="0" t="s">
        <v>183</v>
      </c>
      <c r="F79" s="0" t="n">
        <v>9</v>
      </c>
      <c r="G79" s="0" t="s">
        <v>553</v>
      </c>
      <c r="H79" s="0" t="s">
        <v>636</v>
      </c>
      <c r="I79" s="6" t="n">
        <f aca="false">VLOOKUP(B79,M:O,3,0)</f>
        <v>0.59375</v>
      </c>
      <c r="J79" s="0" t="str">
        <f aca="false">VLOOKUP(B79,M:P,4,0)</f>
        <v>MAPELLO VIA DEL LAZZARINO</v>
      </c>
    </row>
    <row r="80" customFormat="false" ht="12.5" hidden="false" customHeight="false" outlineLevel="0" collapsed="false">
      <c r="A80" s="22" t="n">
        <v>46123</v>
      </c>
      <c r="B80" s="0" t="s">
        <v>328</v>
      </c>
      <c r="C80" s="0" t="s">
        <v>782</v>
      </c>
      <c r="D80" s="0" t="s">
        <v>774</v>
      </c>
      <c r="E80" s="0" t="s">
        <v>183</v>
      </c>
      <c r="F80" s="0" t="n">
        <v>9</v>
      </c>
      <c r="G80" s="0" t="s">
        <v>553</v>
      </c>
      <c r="H80" s="0" t="s">
        <v>636</v>
      </c>
      <c r="I80" s="6" t="n">
        <f aca="false">VLOOKUP(B80,M:O,3,0)</f>
        <v>0.59375</v>
      </c>
      <c r="J80" s="0" t="str">
        <f aca="false">VLOOKUP(B80,M:P,4,0)</f>
        <v>MAPELLO VIA DEL LAZZARINO</v>
      </c>
    </row>
    <row r="81" customFormat="false" ht="12.5" hidden="false" customHeight="false" outlineLevel="0" collapsed="false">
      <c r="A81" s="22" t="n">
        <v>46123</v>
      </c>
      <c r="B81" s="0" t="s">
        <v>602</v>
      </c>
      <c r="C81" s="0" t="s">
        <v>786</v>
      </c>
      <c r="D81" s="0" t="s">
        <v>774</v>
      </c>
      <c r="E81" s="0" t="s">
        <v>183</v>
      </c>
      <c r="F81" s="0" t="n">
        <v>9</v>
      </c>
      <c r="G81" s="0" t="s">
        <v>553</v>
      </c>
      <c r="H81" s="0" t="s">
        <v>636</v>
      </c>
      <c r="I81" s="6" t="n">
        <f aca="false">VLOOKUP(B81,M:O,3,0)</f>
        <v>0.416666666666667</v>
      </c>
      <c r="J81" s="0" t="str">
        <f aca="false">VLOOKUP(B81,M:P,4,0)</f>
        <v>SANT'OMOBONO TERME VIA ALLE FONTI 2</v>
      </c>
    </row>
    <row r="82" customFormat="false" ht="12.5" hidden="false" customHeight="false" outlineLevel="0" collapsed="false">
      <c r="A82" s="22" t="n">
        <v>46123</v>
      </c>
      <c r="B82" s="0" t="s">
        <v>781</v>
      </c>
      <c r="C82" s="0" t="s">
        <v>783</v>
      </c>
      <c r="D82" s="0" t="s">
        <v>774</v>
      </c>
      <c r="E82" s="0" t="s">
        <v>183</v>
      </c>
      <c r="F82" s="0" t="n">
        <v>9</v>
      </c>
      <c r="G82" s="0" t="s">
        <v>553</v>
      </c>
      <c r="H82" s="0" t="s">
        <v>315</v>
      </c>
      <c r="I82" s="6" t="n">
        <f aca="false">VLOOKUP(B82,M:O,3,0)</f>
        <v>0.666666666666667</v>
      </c>
      <c r="J82" s="0" t="str">
        <f aca="false">VLOOKUP(B82,M:P,4,0)</f>
        <v>ALME' VIA OLIMPIA 8</v>
      </c>
    </row>
    <row r="83" customFormat="false" ht="12.5" hidden="false" customHeight="false" outlineLevel="0" collapsed="false">
      <c r="A83" s="22" t="n">
        <v>46060</v>
      </c>
      <c r="B83" s="0" t="s">
        <v>787</v>
      </c>
      <c r="C83" s="0" t="s">
        <v>657</v>
      </c>
      <c r="D83" s="0" t="s">
        <v>774</v>
      </c>
      <c r="E83" s="0" t="s">
        <v>850</v>
      </c>
      <c r="F83" s="0" t="n">
        <v>1</v>
      </c>
      <c r="G83" s="0" t="s">
        <v>553</v>
      </c>
      <c r="H83" s="0" t="s">
        <v>636</v>
      </c>
      <c r="I83" s="6" t="n">
        <f aca="false">VLOOKUP(B83,M:O,3,0)</f>
        <v>0.416666666666667</v>
      </c>
      <c r="J83" s="0" t="str">
        <f aca="false">VLOOKUP(B83,M:P,4,0)</f>
        <v>PONTIROLO NUOVO VIA ARMANDO DIAZ 22</v>
      </c>
    </row>
    <row r="84" customFormat="false" ht="12.5" hidden="false" customHeight="false" outlineLevel="0" collapsed="false">
      <c r="A84" s="22" t="n">
        <v>46060</v>
      </c>
      <c r="B84" s="0" t="s">
        <v>789</v>
      </c>
      <c r="C84" s="0" t="s">
        <v>794</v>
      </c>
      <c r="D84" s="0" t="s">
        <v>774</v>
      </c>
      <c r="E84" s="0" t="s">
        <v>850</v>
      </c>
      <c r="F84" s="0" t="n">
        <v>1</v>
      </c>
      <c r="G84" s="0" t="s">
        <v>553</v>
      </c>
      <c r="H84" s="0" t="s">
        <v>636</v>
      </c>
      <c r="I84" s="6" t="n">
        <f aca="false">VLOOKUP(B84,M:O,3,0)</f>
        <v>0.583333333333333</v>
      </c>
      <c r="J84" s="0" t="str">
        <f aca="false">VLOOKUP(B84,M:P,4,0)</f>
        <v>BONATE SOTTO VIA GIUSEPPE GARIBALDI 15</v>
      </c>
    </row>
    <row r="85" customFormat="false" ht="12.5" hidden="false" customHeight="false" outlineLevel="0" collapsed="false">
      <c r="A85" s="22" t="n">
        <v>46060</v>
      </c>
      <c r="B85" s="0" t="s">
        <v>598</v>
      </c>
      <c r="C85" s="0" t="s">
        <v>661</v>
      </c>
      <c r="D85" s="0" t="s">
        <v>774</v>
      </c>
      <c r="E85" s="0" t="s">
        <v>850</v>
      </c>
      <c r="F85" s="0" t="n">
        <v>1</v>
      </c>
      <c r="G85" s="0" t="s">
        <v>553</v>
      </c>
      <c r="H85" s="0" t="s">
        <v>636</v>
      </c>
      <c r="I85" s="6" t="n">
        <f aca="false">VLOOKUP(B85,M:O,3,0)</f>
        <v>0.604166666666667</v>
      </c>
      <c r="J85" s="0" t="str">
        <f aca="false">VLOOKUP(B85,M:P,4,0)</f>
        <v>LALLIO VIA EVARISTO BASCHENIS</v>
      </c>
    </row>
    <row r="86" customFormat="false" ht="12.5" hidden="false" customHeight="false" outlineLevel="0" collapsed="false">
      <c r="A86" s="22" t="n">
        <v>46060</v>
      </c>
      <c r="B86" s="0" t="s">
        <v>791</v>
      </c>
      <c r="C86" s="0" t="s">
        <v>440</v>
      </c>
      <c r="D86" s="0" t="s">
        <v>774</v>
      </c>
      <c r="E86" s="0" t="s">
        <v>850</v>
      </c>
      <c r="F86" s="0" t="n">
        <v>1</v>
      </c>
      <c r="G86" s="0" t="s">
        <v>553</v>
      </c>
      <c r="H86" s="0" t="s">
        <v>636</v>
      </c>
      <c r="I86" s="6" t="n">
        <f aca="false">VLOOKUP(B86,M:O,3,0)</f>
        <v>0.604166666666667</v>
      </c>
      <c r="J86" s="0" t="str">
        <f aca="false">VLOOKUP(B86,M:P,4,0)</f>
        <v>ARCENE VIA GIUSEPPE VERDI</v>
      </c>
    </row>
    <row r="87" customFormat="false" ht="12.5" hidden="false" customHeight="false" outlineLevel="0" collapsed="false">
      <c r="A87" s="22" t="n">
        <v>46067</v>
      </c>
      <c r="B87" s="0" t="s">
        <v>661</v>
      </c>
      <c r="C87" s="0" t="s">
        <v>789</v>
      </c>
      <c r="D87" s="0" t="s">
        <v>774</v>
      </c>
      <c r="E87" s="0" t="s">
        <v>850</v>
      </c>
      <c r="F87" s="0" t="n">
        <v>2</v>
      </c>
      <c r="G87" s="0" t="s">
        <v>553</v>
      </c>
      <c r="H87" s="0" t="s">
        <v>636</v>
      </c>
      <c r="I87" s="6" t="n">
        <f aca="false">VLOOKUP(B87,M:O,3,0)</f>
        <v>0.416666666666667</v>
      </c>
      <c r="J87" s="0" t="str">
        <f aca="false">VLOOKUP(B87,M:P,4,0)</f>
        <v>FILAGO VIA ANTONIO LOCATELLI 42</v>
      </c>
    </row>
    <row r="88" customFormat="false" ht="12.5" hidden="false" customHeight="false" outlineLevel="0" collapsed="false">
      <c r="A88" s="22" t="n">
        <v>46067</v>
      </c>
      <c r="B88" s="0" t="s">
        <v>794</v>
      </c>
      <c r="C88" s="0" t="s">
        <v>654</v>
      </c>
      <c r="D88" s="0" t="s">
        <v>774</v>
      </c>
      <c r="E88" s="0" t="s">
        <v>850</v>
      </c>
      <c r="F88" s="0" t="n">
        <v>2</v>
      </c>
      <c r="G88" s="0" t="s">
        <v>553</v>
      </c>
      <c r="H88" s="0" t="s">
        <v>636</v>
      </c>
      <c r="I88" s="6" t="n">
        <f aca="false">VLOOKUP(B88,M:O,3,0)</f>
        <v>0.604166666666667</v>
      </c>
      <c r="J88" s="0" t="str">
        <f aca="false">VLOOKUP(B88,M:P,4,0)</f>
        <v>MASANO VIA MOLINA</v>
      </c>
    </row>
    <row r="89" customFormat="false" ht="12.5" hidden="false" customHeight="false" outlineLevel="0" collapsed="false">
      <c r="A89" s="22" t="n">
        <v>46067</v>
      </c>
      <c r="B89" s="0" t="s">
        <v>440</v>
      </c>
      <c r="C89" s="0" t="s">
        <v>598</v>
      </c>
      <c r="D89" s="0" t="s">
        <v>774</v>
      </c>
      <c r="E89" s="0" t="s">
        <v>850</v>
      </c>
      <c r="F89" s="0" t="n">
        <v>2</v>
      </c>
      <c r="G89" s="0" t="s">
        <v>553</v>
      </c>
      <c r="H89" s="0" t="s">
        <v>636</v>
      </c>
      <c r="I89" s="6" t="n">
        <f aca="false">VLOOKUP(B89,M:O,3,0)</f>
        <v>0.625</v>
      </c>
      <c r="J89" s="0" t="str">
        <f aca="false">VLOOKUP(B89,M:P,4,0)</f>
        <v>CISANO BERGAMASCO VIA CA' DE' VOLPI N°7</v>
      </c>
    </row>
    <row r="90" customFormat="false" ht="12.5" hidden="false" customHeight="false" outlineLevel="0" collapsed="false">
      <c r="A90" s="22" t="n">
        <v>46067</v>
      </c>
      <c r="B90" s="0" t="s">
        <v>657</v>
      </c>
      <c r="C90" s="0" t="s">
        <v>791</v>
      </c>
      <c r="D90" s="0" t="s">
        <v>774</v>
      </c>
      <c r="E90" s="0" t="s">
        <v>850</v>
      </c>
      <c r="F90" s="0" t="n">
        <v>2</v>
      </c>
      <c r="G90" s="0" t="s">
        <v>553</v>
      </c>
      <c r="H90" s="0" t="s">
        <v>636</v>
      </c>
      <c r="I90" s="6" t="n">
        <f aca="false">VLOOKUP(B90,M:O,3,0)</f>
        <v>0.416666666666667</v>
      </c>
      <c r="J90" s="0" t="str">
        <f aca="false">VLOOKUP(B90,M:P,4,0)</f>
        <v>CARVICO VIA PEDRAZZI</v>
      </c>
    </row>
    <row r="91" customFormat="false" ht="12.5" hidden="false" customHeight="false" outlineLevel="0" collapsed="false">
      <c r="A91" s="22" t="n">
        <v>46074</v>
      </c>
      <c r="B91" s="0" t="s">
        <v>661</v>
      </c>
      <c r="C91" s="0" t="s">
        <v>794</v>
      </c>
      <c r="D91" s="0" t="s">
        <v>774</v>
      </c>
      <c r="E91" s="0" t="s">
        <v>850</v>
      </c>
      <c r="F91" s="0" t="n">
        <v>3</v>
      </c>
      <c r="G91" s="0" t="s">
        <v>553</v>
      </c>
      <c r="H91" s="0" t="s">
        <v>636</v>
      </c>
      <c r="I91" s="6" t="n">
        <f aca="false">VLOOKUP(B91,M:O,3,0)</f>
        <v>0.416666666666667</v>
      </c>
      <c r="J91" s="0" t="str">
        <f aca="false">VLOOKUP(B91,M:P,4,0)</f>
        <v>FILAGO VIA ANTONIO LOCATELLI 42</v>
      </c>
    </row>
    <row r="92" customFormat="false" ht="12.5" hidden="false" customHeight="false" outlineLevel="0" collapsed="false">
      <c r="A92" s="22" t="n">
        <v>46074</v>
      </c>
      <c r="B92" s="0" t="s">
        <v>787</v>
      </c>
      <c r="C92" s="0" t="s">
        <v>654</v>
      </c>
      <c r="D92" s="0" t="s">
        <v>774</v>
      </c>
      <c r="E92" s="0" t="s">
        <v>850</v>
      </c>
      <c r="F92" s="0" t="n">
        <v>3</v>
      </c>
      <c r="G92" s="0" t="s">
        <v>553</v>
      </c>
      <c r="H92" s="0" t="s">
        <v>636</v>
      </c>
      <c r="I92" s="6" t="n">
        <f aca="false">VLOOKUP(B92,M:O,3,0)</f>
        <v>0.416666666666667</v>
      </c>
      <c r="J92" s="0" t="str">
        <f aca="false">VLOOKUP(B92,M:P,4,0)</f>
        <v>PONTIROLO NUOVO VIA ARMANDO DIAZ 22</v>
      </c>
    </row>
    <row r="93" customFormat="false" ht="12.5" hidden="false" customHeight="false" outlineLevel="0" collapsed="false">
      <c r="A93" s="22" t="n">
        <v>46074</v>
      </c>
      <c r="B93" s="0" t="s">
        <v>789</v>
      </c>
      <c r="C93" s="0" t="s">
        <v>440</v>
      </c>
      <c r="D93" s="0" t="s">
        <v>774</v>
      </c>
      <c r="E93" s="0" t="s">
        <v>850</v>
      </c>
      <c r="F93" s="0" t="n">
        <v>3</v>
      </c>
      <c r="G93" s="0" t="s">
        <v>553</v>
      </c>
      <c r="H93" s="0" t="s">
        <v>636</v>
      </c>
      <c r="I93" s="6" t="n">
        <f aca="false">VLOOKUP(B93,M:O,3,0)</f>
        <v>0.583333333333333</v>
      </c>
      <c r="J93" s="0" t="str">
        <f aca="false">VLOOKUP(B93,M:P,4,0)</f>
        <v>BONATE SOTTO VIA GIUSEPPE GARIBALDI 15</v>
      </c>
    </row>
    <row r="94" customFormat="false" ht="12.5" hidden="false" customHeight="false" outlineLevel="0" collapsed="false">
      <c r="A94" s="22" t="n">
        <v>46074</v>
      </c>
      <c r="B94" s="0" t="s">
        <v>598</v>
      </c>
      <c r="C94" s="0" t="s">
        <v>657</v>
      </c>
      <c r="D94" s="0" t="s">
        <v>774</v>
      </c>
      <c r="E94" s="0" t="s">
        <v>850</v>
      </c>
      <c r="F94" s="0" t="n">
        <v>3</v>
      </c>
      <c r="G94" s="0" t="s">
        <v>553</v>
      </c>
      <c r="H94" s="0" t="s">
        <v>636</v>
      </c>
      <c r="I94" s="6" t="n">
        <f aca="false">VLOOKUP(B94,M:O,3,0)</f>
        <v>0.604166666666667</v>
      </c>
      <c r="J94" s="0" t="str">
        <f aca="false">VLOOKUP(B94,M:P,4,0)</f>
        <v>LALLIO VIA EVARISTO BASCHENIS</v>
      </c>
    </row>
    <row r="95" customFormat="false" ht="12.5" hidden="false" customHeight="false" outlineLevel="0" collapsed="false">
      <c r="A95" s="22" t="n">
        <v>46081</v>
      </c>
      <c r="B95" s="0" t="s">
        <v>794</v>
      </c>
      <c r="C95" s="0" t="s">
        <v>787</v>
      </c>
      <c r="D95" s="0" t="s">
        <v>774</v>
      </c>
      <c r="E95" s="0" t="s">
        <v>850</v>
      </c>
      <c r="F95" s="0" t="n">
        <v>4</v>
      </c>
      <c r="G95" s="0" t="s">
        <v>553</v>
      </c>
      <c r="H95" s="0" t="s">
        <v>636</v>
      </c>
      <c r="I95" s="6" t="n">
        <f aca="false">VLOOKUP(B95,M:O,3,0)</f>
        <v>0.604166666666667</v>
      </c>
      <c r="J95" s="0" t="str">
        <f aca="false">VLOOKUP(B95,M:P,4,0)</f>
        <v>MASANO VIA MOLINA</v>
      </c>
    </row>
    <row r="96" customFormat="false" ht="12.5" hidden="false" customHeight="false" outlineLevel="0" collapsed="false">
      <c r="A96" s="22" t="n">
        <v>46081</v>
      </c>
      <c r="B96" s="0" t="s">
        <v>440</v>
      </c>
      <c r="C96" s="0" t="s">
        <v>661</v>
      </c>
      <c r="D96" s="0" t="s">
        <v>774</v>
      </c>
      <c r="E96" s="0" t="s">
        <v>850</v>
      </c>
      <c r="F96" s="0" t="n">
        <v>4</v>
      </c>
      <c r="G96" s="0" t="s">
        <v>553</v>
      </c>
      <c r="H96" s="0" t="s">
        <v>636</v>
      </c>
      <c r="I96" s="6" t="n">
        <f aca="false">VLOOKUP(B96,M:O,3,0)</f>
        <v>0.625</v>
      </c>
      <c r="J96" s="0" t="str">
        <f aca="false">VLOOKUP(B96,M:P,4,0)</f>
        <v>CISANO BERGAMASCO VIA CA' DE' VOLPI N°7</v>
      </c>
    </row>
    <row r="97" customFormat="false" ht="12.5" hidden="false" customHeight="false" outlineLevel="0" collapsed="false">
      <c r="A97" s="22" t="n">
        <v>46082</v>
      </c>
      <c r="B97" s="0" t="s">
        <v>654</v>
      </c>
      <c r="C97" s="0" t="s">
        <v>791</v>
      </c>
      <c r="D97" s="0" t="s">
        <v>774</v>
      </c>
      <c r="E97" s="0" t="s">
        <v>850</v>
      </c>
      <c r="F97" s="0" t="n">
        <v>4</v>
      </c>
      <c r="G97" s="0" t="s">
        <v>553</v>
      </c>
      <c r="H97" s="0" t="s">
        <v>636</v>
      </c>
      <c r="I97" s="6" t="n">
        <f aca="false">VLOOKUP(B97,M:O,3,0)</f>
        <v>0.604166666666667</v>
      </c>
      <c r="J97" s="0" t="str">
        <f aca="false">VLOOKUP(B97,M:P,4,0)</f>
        <v>FARA OLIVANA CON SOLA VIA VITTORIO EMANUELE SNC</v>
      </c>
    </row>
    <row r="98" customFormat="false" ht="12.5" hidden="false" customHeight="false" outlineLevel="0" collapsed="false">
      <c r="A98" s="22" t="n">
        <v>46081</v>
      </c>
      <c r="B98" s="0" t="s">
        <v>657</v>
      </c>
      <c r="C98" s="0" t="s">
        <v>789</v>
      </c>
      <c r="D98" s="0" t="s">
        <v>774</v>
      </c>
      <c r="E98" s="0" t="s">
        <v>850</v>
      </c>
      <c r="F98" s="0" t="n">
        <v>4</v>
      </c>
      <c r="G98" s="0" t="s">
        <v>553</v>
      </c>
      <c r="H98" s="0" t="s">
        <v>636</v>
      </c>
      <c r="I98" s="6" t="n">
        <f aca="false">VLOOKUP(B98,M:O,3,0)</f>
        <v>0.416666666666667</v>
      </c>
      <c r="J98" s="0" t="str">
        <f aca="false">VLOOKUP(B98,M:P,4,0)</f>
        <v>CARVICO VIA PEDRAZZI</v>
      </c>
    </row>
    <row r="99" customFormat="false" ht="12.5" hidden="false" customHeight="false" outlineLevel="0" collapsed="false">
      <c r="A99" s="22" t="n">
        <v>46088</v>
      </c>
      <c r="B99" s="0" t="s">
        <v>661</v>
      </c>
      <c r="C99" s="0" t="s">
        <v>657</v>
      </c>
      <c r="D99" s="0" t="s">
        <v>774</v>
      </c>
      <c r="E99" s="0" t="s">
        <v>850</v>
      </c>
      <c r="F99" s="0" t="n">
        <v>5</v>
      </c>
      <c r="G99" s="0" t="s">
        <v>553</v>
      </c>
      <c r="H99" s="0" t="s">
        <v>636</v>
      </c>
      <c r="I99" s="6" t="n">
        <f aca="false">VLOOKUP(B99,M:O,3,0)</f>
        <v>0.416666666666667</v>
      </c>
      <c r="J99" s="0" t="str">
        <f aca="false">VLOOKUP(B99,M:P,4,0)</f>
        <v>FILAGO VIA ANTONIO LOCATELLI 42</v>
      </c>
    </row>
    <row r="100" customFormat="false" ht="12.5" hidden="false" customHeight="false" outlineLevel="0" collapsed="false">
      <c r="A100" s="22" t="n">
        <v>46088</v>
      </c>
      <c r="B100" s="0" t="s">
        <v>440</v>
      </c>
      <c r="C100" s="0" t="s">
        <v>794</v>
      </c>
      <c r="D100" s="0" t="s">
        <v>774</v>
      </c>
      <c r="E100" s="0" t="s">
        <v>850</v>
      </c>
      <c r="F100" s="0" t="n">
        <v>5</v>
      </c>
      <c r="G100" s="0" t="s">
        <v>553</v>
      </c>
      <c r="H100" s="0" t="s">
        <v>636</v>
      </c>
      <c r="I100" s="6" t="n">
        <f aca="false">VLOOKUP(B100,M:O,3,0)</f>
        <v>0.625</v>
      </c>
      <c r="J100" s="0" t="str">
        <f aca="false">VLOOKUP(B100,M:P,4,0)</f>
        <v>CISANO BERGAMASCO VIA CA' DE' VOLPI N°7</v>
      </c>
    </row>
    <row r="101" customFormat="false" ht="12.5" hidden="false" customHeight="false" outlineLevel="0" collapsed="false">
      <c r="A101" s="22" t="n">
        <v>46088</v>
      </c>
      <c r="B101" s="0" t="s">
        <v>598</v>
      </c>
      <c r="C101" s="0" t="s">
        <v>654</v>
      </c>
      <c r="D101" s="0" t="s">
        <v>774</v>
      </c>
      <c r="E101" s="0" t="s">
        <v>850</v>
      </c>
      <c r="F101" s="0" t="n">
        <v>5</v>
      </c>
      <c r="G101" s="0" t="s">
        <v>553</v>
      </c>
      <c r="H101" s="0" t="s">
        <v>636</v>
      </c>
      <c r="I101" s="6" t="n">
        <f aca="false">VLOOKUP(B101,M:O,3,0)</f>
        <v>0.604166666666667</v>
      </c>
      <c r="J101" s="0" t="str">
        <f aca="false">VLOOKUP(B101,M:P,4,0)</f>
        <v>LALLIO VIA EVARISTO BASCHENIS</v>
      </c>
    </row>
    <row r="102" customFormat="false" ht="12.5" hidden="false" customHeight="false" outlineLevel="0" collapsed="false">
      <c r="A102" s="22" t="n">
        <v>46088</v>
      </c>
      <c r="B102" s="0" t="s">
        <v>791</v>
      </c>
      <c r="C102" s="0" t="s">
        <v>787</v>
      </c>
      <c r="D102" s="0" t="s">
        <v>774</v>
      </c>
      <c r="E102" s="0" t="s">
        <v>850</v>
      </c>
      <c r="F102" s="0" t="n">
        <v>5</v>
      </c>
      <c r="G102" s="0" t="s">
        <v>553</v>
      </c>
      <c r="H102" s="0" t="s">
        <v>636</v>
      </c>
      <c r="I102" s="6" t="n">
        <f aca="false">VLOOKUP(B102,M:O,3,0)</f>
        <v>0.604166666666667</v>
      </c>
      <c r="J102" s="0" t="str">
        <f aca="false">VLOOKUP(B102,M:P,4,0)</f>
        <v>ARCENE VIA GIUSEPPE VERDI</v>
      </c>
    </row>
    <row r="103" customFormat="false" ht="12.5" hidden="false" customHeight="false" outlineLevel="0" collapsed="false">
      <c r="A103" s="22" t="n">
        <v>46095</v>
      </c>
      <c r="B103" s="0" t="s">
        <v>787</v>
      </c>
      <c r="C103" s="0" t="s">
        <v>598</v>
      </c>
      <c r="D103" s="0" t="s">
        <v>774</v>
      </c>
      <c r="E103" s="0" t="s">
        <v>850</v>
      </c>
      <c r="F103" s="0" t="n">
        <v>6</v>
      </c>
      <c r="G103" s="0" t="s">
        <v>553</v>
      </c>
      <c r="H103" s="0" t="s">
        <v>636</v>
      </c>
      <c r="I103" s="6" t="n">
        <f aca="false">VLOOKUP(B103,M:O,3,0)</f>
        <v>0.416666666666667</v>
      </c>
      <c r="J103" s="0" t="str">
        <f aca="false">VLOOKUP(B103,M:P,4,0)</f>
        <v>PONTIROLO NUOVO VIA ARMANDO DIAZ 22</v>
      </c>
    </row>
    <row r="104" customFormat="false" ht="12.5" hidden="false" customHeight="false" outlineLevel="0" collapsed="false">
      <c r="A104" s="22" t="n">
        <v>46095</v>
      </c>
      <c r="B104" s="0" t="s">
        <v>794</v>
      </c>
      <c r="C104" s="0" t="s">
        <v>791</v>
      </c>
      <c r="D104" s="0" t="s">
        <v>774</v>
      </c>
      <c r="E104" s="0" t="s">
        <v>850</v>
      </c>
      <c r="F104" s="0" t="n">
        <v>6</v>
      </c>
      <c r="G104" s="0" t="s">
        <v>553</v>
      </c>
      <c r="H104" s="0" t="s">
        <v>636</v>
      </c>
      <c r="I104" s="6" t="n">
        <f aca="false">VLOOKUP(B104,M:O,3,0)</f>
        <v>0.604166666666667</v>
      </c>
      <c r="J104" s="0" t="str">
        <f aca="false">VLOOKUP(B104,M:P,4,0)</f>
        <v>MASANO VIA MOLINA</v>
      </c>
    </row>
    <row r="105" customFormat="false" ht="12.5" hidden="false" customHeight="false" outlineLevel="0" collapsed="false">
      <c r="A105" s="22" t="n">
        <v>46096</v>
      </c>
      <c r="B105" s="0" t="s">
        <v>654</v>
      </c>
      <c r="C105" s="0" t="s">
        <v>789</v>
      </c>
      <c r="D105" s="0" t="s">
        <v>774</v>
      </c>
      <c r="E105" s="0" t="s">
        <v>850</v>
      </c>
      <c r="F105" s="0" t="n">
        <v>6</v>
      </c>
      <c r="G105" s="0" t="s">
        <v>553</v>
      </c>
      <c r="H105" s="0" t="s">
        <v>636</v>
      </c>
      <c r="I105" s="6" t="n">
        <f aca="false">VLOOKUP(B105,M:O,3,0)</f>
        <v>0.604166666666667</v>
      </c>
      <c r="J105" s="0" t="str">
        <f aca="false">VLOOKUP(B105,M:P,4,0)</f>
        <v>FARA OLIVANA CON SOLA VIA VITTORIO EMANUELE SNC</v>
      </c>
    </row>
    <row r="106" customFormat="false" ht="12.5" hidden="false" customHeight="false" outlineLevel="0" collapsed="false">
      <c r="A106" s="22" t="n">
        <v>46095</v>
      </c>
      <c r="B106" s="0" t="s">
        <v>657</v>
      </c>
      <c r="C106" s="0" t="s">
        <v>440</v>
      </c>
      <c r="D106" s="0" t="s">
        <v>774</v>
      </c>
      <c r="E106" s="0" t="s">
        <v>850</v>
      </c>
      <c r="F106" s="0" t="n">
        <v>6</v>
      </c>
      <c r="G106" s="0" t="s">
        <v>553</v>
      </c>
      <c r="H106" s="0" t="s">
        <v>636</v>
      </c>
      <c r="I106" s="6" t="n">
        <f aca="false">VLOOKUP(B106,M:O,3,0)</f>
        <v>0.416666666666667</v>
      </c>
      <c r="J106" s="0" t="str">
        <f aca="false">VLOOKUP(B106,M:P,4,0)</f>
        <v>CARVICO VIA PEDRAZZI</v>
      </c>
    </row>
    <row r="107" customFormat="false" ht="12.5" hidden="false" customHeight="false" outlineLevel="0" collapsed="false">
      <c r="A107" s="22" t="n">
        <v>46102</v>
      </c>
      <c r="B107" s="0" t="s">
        <v>661</v>
      </c>
      <c r="C107" s="0" t="s">
        <v>654</v>
      </c>
      <c r="D107" s="0" t="s">
        <v>774</v>
      </c>
      <c r="E107" s="0" t="s">
        <v>850</v>
      </c>
      <c r="F107" s="0" t="n">
        <v>7</v>
      </c>
      <c r="G107" s="0" t="s">
        <v>553</v>
      </c>
      <c r="H107" s="0" t="s">
        <v>636</v>
      </c>
      <c r="I107" s="6" t="n">
        <f aca="false">VLOOKUP(B107,M:O,3,0)</f>
        <v>0.416666666666667</v>
      </c>
      <c r="J107" s="0" t="str">
        <f aca="false">VLOOKUP(B107,M:P,4,0)</f>
        <v>FILAGO VIA ANTONIO LOCATELLI 42</v>
      </c>
    </row>
    <row r="108" customFormat="false" ht="12.5" hidden="false" customHeight="false" outlineLevel="0" collapsed="false">
      <c r="A108" s="22" t="n">
        <v>46102</v>
      </c>
      <c r="B108" s="0" t="s">
        <v>789</v>
      </c>
      <c r="C108" s="0" t="s">
        <v>787</v>
      </c>
      <c r="D108" s="0" t="s">
        <v>774</v>
      </c>
      <c r="E108" s="0" t="s">
        <v>850</v>
      </c>
      <c r="F108" s="0" t="n">
        <v>7</v>
      </c>
      <c r="G108" s="0" t="s">
        <v>553</v>
      </c>
      <c r="H108" s="0" t="s">
        <v>636</v>
      </c>
      <c r="I108" s="6" t="n">
        <f aca="false">VLOOKUP(B108,M:O,3,0)</f>
        <v>0.583333333333333</v>
      </c>
      <c r="J108" s="0" t="str">
        <f aca="false">VLOOKUP(B108,M:P,4,0)</f>
        <v>BONATE SOTTO VIA GIUSEPPE GARIBALDI 15</v>
      </c>
    </row>
    <row r="109" customFormat="false" ht="12.5" hidden="false" customHeight="false" outlineLevel="0" collapsed="false">
      <c r="A109" s="22" t="n">
        <v>46102</v>
      </c>
      <c r="B109" s="0" t="s">
        <v>598</v>
      </c>
      <c r="C109" s="0" t="s">
        <v>791</v>
      </c>
      <c r="D109" s="0" t="s">
        <v>774</v>
      </c>
      <c r="E109" s="0" t="s">
        <v>850</v>
      </c>
      <c r="F109" s="0" t="n">
        <v>7</v>
      </c>
      <c r="G109" s="0" t="s">
        <v>553</v>
      </c>
      <c r="H109" s="0" t="s">
        <v>636</v>
      </c>
      <c r="I109" s="6" t="n">
        <f aca="false">VLOOKUP(B109,M:O,3,0)</f>
        <v>0.604166666666667</v>
      </c>
      <c r="J109" s="0" t="str">
        <f aca="false">VLOOKUP(B109,M:P,4,0)</f>
        <v>LALLIO VIA EVARISTO BASCHENIS</v>
      </c>
    </row>
    <row r="110" customFormat="false" ht="12.5" hidden="false" customHeight="false" outlineLevel="0" collapsed="false">
      <c r="A110" s="22" t="n">
        <v>46102</v>
      </c>
      <c r="B110" s="0" t="s">
        <v>657</v>
      </c>
      <c r="C110" s="0" t="s">
        <v>794</v>
      </c>
      <c r="D110" s="0" t="s">
        <v>774</v>
      </c>
      <c r="E110" s="0" t="s">
        <v>850</v>
      </c>
      <c r="F110" s="0" t="n">
        <v>7</v>
      </c>
      <c r="G110" s="0" t="s">
        <v>553</v>
      </c>
      <c r="H110" s="0" t="s">
        <v>636</v>
      </c>
      <c r="I110" s="6" t="n">
        <f aca="false">VLOOKUP(B110,M:O,3,0)</f>
        <v>0.416666666666667</v>
      </c>
      <c r="J110" s="0" t="str">
        <f aca="false">VLOOKUP(B110,M:P,4,0)</f>
        <v>CARVICO VIA PEDRAZZI</v>
      </c>
    </row>
    <row r="111" customFormat="false" ht="12.5" hidden="false" customHeight="false" outlineLevel="0" collapsed="false">
      <c r="A111" s="22" t="n">
        <v>46109</v>
      </c>
      <c r="B111" s="0" t="s">
        <v>787</v>
      </c>
      <c r="C111" s="0" t="s">
        <v>661</v>
      </c>
      <c r="D111" s="0" t="s">
        <v>774</v>
      </c>
      <c r="E111" s="0" t="s">
        <v>850</v>
      </c>
      <c r="F111" s="0" t="n">
        <v>8</v>
      </c>
      <c r="G111" s="0" t="s">
        <v>553</v>
      </c>
      <c r="H111" s="0" t="s">
        <v>636</v>
      </c>
      <c r="I111" s="6" t="n">
        <f aca="false">VLOOKUP(B111,M:O,3,0)</f>
        <v>0.416666666666667</v>
      </c>
      <c r="J111" s="0" t="str">
        <f aca="false">VLOOKUP(B111,M:P,4,0)</f>
        <v>PONTIROLO NUOVO VIA ARMANDO DIAZ 22</v>
      </c>
    </row>
    <row r="112" customFormat="false" ht="12.5" hidden="false" customHeight="false" outlineLevel="0" collapsed="false">
      <c r="A112" s="22" t="n">
        <v>46110</v>
      </c>
      <c r="B112" s="0" t="s">
        <v>654</v>
      </c>
      <c r="C112" s="0" t="s">
        <v>440</v>
      </c>
      <c r="D112" s="0" t="s">
        <v>774</v>
      </c>
      <c r="E112" s="0" t="s">
        <v>850</v>
      </c>
      <c r="F112" s="0" t="n">
        <v>8</v>
      </c>
      <c r="G112" s="0" t="s">
        <v>553</v>
      </c>
      <c r="H112" s="0" t="s">
        <v>636</v>
      </c>
      <c r="I112" s="6" t="n">
        <f aca="false">VLOOKUP(B112,M:O,3,0)</f>
        <v>0.604166666666667</v>
      </c>
      <c r="J112" s="0" t="str">
        <f aca="false">VLOOKUP(B112,M:P,4,0)</f>
        <v>FARA OLIVANA CON SOLA VIA VITTORIO EMANUELE SNC</v>
      </c>
    </row>
    <row r="113" customFormat="false" ht="12.5" hidden="false" customHeight="false" outlineLevel="0" collapsed="false">
      <c r="A113" s="22" t="n">
        <v>46109</v>
      </c>
      <c r="B113" s="0" t="s">
        <v>598</v>
      </c>
      <c r="C113" s="0" t="s">
        <v>794</v>
      </c>
      <c r="D113" s="0" t="s">
        <v>774</v>
      </c>
      <c r="E113" s="0" t="s">
        <v>850</v>
      </c>
      <c r="F113" s="0" t="n">
        <v>8</v>
      </c>
      <c r="G113" s="0" t="s">
        <v>553</v>
      </c>
      <c r="H113" s="0" t="s">
        <v>636</v>
      </c>
      <c r="I113" s="6" t="n">
        <f aca="false">VLOOKUP(B113,M:O,3,0)</f>
        <v>0.604166666666667</v>
      </c>
      <c r="J113" s="0" t="str">
        <f aca="false">VLOOKUP(B113,M:P,4,0)</f>
        <v>LALLIO VIA EVARISTO BASCHENIS</v>
      </c>
    </row>
    <row r="114" customFormat="false" ht="12.5" hidden="false" customHeight="false" outlineLevel="0" collapsed="false">
      <c r="A114" s="22" t="n">
        <v>46109</v>
      </c>
      <c r="B114" s="0" t="s">
        <v>791</v>
      </c>
      <c r="C114" s="0" t="s">
        <v>789</v>
      </c>
      <c r="D114" s="0" t="s">
        <v>774</v>
      </c>
      <c r="E114" s="0" t="s">
        <v>850</v>
      </c>
      <c r="F114" s="0" t="n">
        <v>8</v>
      </c>
      <c r="G114" s="0" t="s">
        <v>553</v>
      </c>
      <c r="H114" s="0" t="s">
        <v>636</v>
      </c>
      <c r="I114" s="6" t="n">
        <f aca="false">VLOOKUP(B114,M:O,3,0)</f>
        <v>0.604166666666667</v>
      </c>
      <c r="J114" s="0" t="str">
        <f aca="false">VLOOKUP(B114,M:P,4,0)</f>
        <v>ARCENE VIA GIUSEPPE VERDI</v>
      </c>
    </row>
    <row r="115" customFormat="false" ht="12.5" hidden="false" customHeight="false" outlineLevel="0" collapsed="false">
      <c r="A115" s="22" t="n">
        <v>46123</v>
      </c>
      <c r="B115" s="0" t="s">
        <v>661</v>
      </c>
      <c r="C115" s="0" t="s">
        <v>791</v>
      </c>
      <c r="D115" s="0" t="s">
        <v>774</v>
      </c>
      <c r="E115" s="0" t="s">
        <v>850</v>
      </c>
      <c r="F115" s="0" t="n">
        <v>9</v>
      </c>
      <c r="G115" s="0" t="s">
        <v>553</v>
      </c>
      <c r="H115" s="0" t="s">
        <v>636</v>
      </c>
      <c r="I115" s="6" t="n">
        <f aca="false">VLOOKUP(B115,M:O,3,0)</f>
        <v>0.416666666666667</v>
      </c>
      <c r="J115" s="0" t="str">
        <f aca="false">VLOOKUP(B115,M:P,4,0)</f>
        <v>FILAGO VIA ANTONIO LOCATELLI 42</v>
      </c>
    </row>
    <row r="116" customFormat="false" ht="12.5" hidden="false" customHeight="false" outlineLevel="0" collapsed="false">
      <c r="A116" s="22" t="n">
        <v>46123</v>
      </c>
      <c r="B116" s="0" t="s">
        <v>789</v>
      </c>
      <c r="C116" s="0" t="s">
        <v>598</v>
      </c>
      <c r="D116" s="0" t="s">
        <v>774</v>
      </c>
      <c r="E116" s="0" t="s">
        <v>850</v>
      </c>
      <c r="F116" s="0" t="n">
        <v>9</v>
      </c>
      <c r="G116" s="0" t="s">
        <v>553</v>
      </c>
      <c r="H116" s="0" t="s">
        <v>636</v>
      </c>
      <c r="I116" s="6" t="n">
        <f aca="false">VLOOKUP(B116,M:O,3,0)</f>
        <v>0.583333333333333</v>
      </c>
      <c r="J116" s="0" t="str">
        <f aca="false">VLOOKUP(B116,M:P,4,0)</f>
        <v>BONATE SOTTO VIA GIUSEPPE GARIBALDI 15</v>
      </c>
    </row>
    <row r="117" customFormat="false" ht="12.5" hidden="false" customHeight="false" outlineLevel="0" collapsed="false">
      <c r="A117" s="22" t="n">
        <v>46123</v>
      </c>
      <c r="B117" s="0" t="s">
        <v>440</v>
      </c>
      <c r="C117" s="0" t="s">
        <v>787</v>
      </c>
      <c r="D117" s="0" t="s">
        <v>774</v>
      </c>
      <c r="E117" s="0" t="s">
        <v>850</v>
      </c>
      <c r="F117" s="0" t="n">
        <v>9</v>
      </c>
      <c r="G117" s="0" t="s">
        <v>553</v>
      </c>
      <c r="H117" s="0" t="s">
        <v>636</v>
      </c>
      <c r="I117" s="6" t="n">
        <f aca="false">VLOOKUP(B117,M:O,3,0)</f>
        <v>0.625</v>
      </c>
      <c r="J117" s="0" t="str">
        <f aca="false">VLOOKUP(B117,M:P,4,0)</f>
        <v>CISANO BERGAMASCO VIA CA' DE' VOLPI N°7</v>
      </c>
    </row>
    <row r="118" customFormat="false" ht="12.5" hidden="false" customHeight="false" outlineLevel="0" collapsed="false">
      <c r="A118" s="22" t="n">
        <v>46123</v>
      </c>
      <c r="B118" s="0" t="s">
        <v>657</v>
      </c>
      <c r="C118" s="0" t="s">
        <v>654</v>
      </c>
      <c r="D118" s="0" t="s">
        <v>774</v>
      </c>
      <c r="E118" s="0" t="s">
        <v>850</v>
      </c>
      <c r="F118" s="0" t="n">
        <v>9</v>
      </c>
      <c r="G118" s="0" t="s">
        <v>553</v>
      </c>
      <c r="H118" s="0" t="s">
        <v>315</v>
      </c>
      <c r="I118" s="6" t="n">
        <f aca="false">VLOOKUP(B118,M:O,3,0)</f>
        <v>0.416666666666667</v>
      </c>
      <c r="J118" s="0" t="str">
        <f aca="false">VLOOKUP(B118,M:P,4,0)</f>
        <v>CARVICO VIA PEDRAZZI</v>
      </c>
    </row>
    <row r="119" customFormat="false" ht="12.5" hidden="false" customHeight="false" outlineLevel="0" collapsed="false">
      <c r="A119" s="22" t="n">
        <v>46060</v>
      </c>
      <c r="B119" s="0" t="s">
        <v>798</v>
      </c>
      <c r="C119" s="0" t="s">
        <v>805</v>
      </c>
      <c r="D119" s="0" t="s">
        <v>774</v>
      </c>
      <c r="E119" s="0" t="s">
        <v>578</v>
      </c>
      <c r="F119" s="0" t="n">
        <v>1</v>
      </c>
      <c r="G119" s="0" t="s">
        <v>553</v>
      </c>
      <c r="H119" s="0" t="s">
        <v>636</v>
      </c>
      <c r="I119" s="6" t="n">
        <f aca="false">VLOOKUP(B119,M:O,3,0)</f>
        <v>0.458333333333333</v>
      </c>
      <c r="J119" s="0" t="str">
        <f aca="false">VLOOKUP(B119,M:P,4,0)</f>
        <v>FILAGO VIA ANTONIO LOCATELLI 42</v>
      </c>
    </row>
    <row r="120" customFormat="false" ht="12.5" hidden="false" customHeight="false" outlineLevel="0" collapsed="false">
      <c r="A120" s="22" t="n">
        <v>46060</v>
      </c>
      <c r="B120" s="0" t="s">
        <v>799</v>
      </c>
      <c r="C120" s="0" t="s">
        <v>807</v>
      </c>
      <c r="D120" s="0" t="s">
        <v>774</v>
      </c>
      <c r="E120" s="0" t="s">
        <v>578</v>
      </c>
      <c r="F120" s="0" t="n">
        <v>1</v>
      </c>
      <c r="G120" s="0" t="s">
        <v>553</v>
      </c>
      <c r="H120" s="0" t="s">
        <v>636</v>
      </c>
      <c r="I120" s="6" t="n">
        <f aca="false">VLOOKUP(B120,M:O,3,0)</f>
        <v>0.625</v>
      </c>
      <c r="J120" s="0" t="str">
        <f aca="false">VLOOKUP(B120,M:P,4,0)</f>
        <v>AZZANO SAN PAOLO VIA STEZZANO 33</v>
      </c>
    </row>
    <row r="121" customFormat="false" ht="12.5" hidden="false" customHeight="false" outlineLevel="0" collapsed="false">
      <c r="A121" s="22" t="n">
        <v>46060</v>
      </c>
      <c r="B121" s="0" t="s">
        <v>801</v>
      </c>
      <c r="C121" s="0" t="s">
        <v>600</v>
      </c>
      <c r="D121" s="0" t="s">
        <v>774</v>
      </c>
      <c r="E121" s="0" t="s">
        <v>578</v>
      </c>
      <c r="F121" s="0" t="n">
        <v>1</v>
      </c>
      <c r="G121" s="0" t="s">
        <v>553</v>
      </c>
      <c r="H121" s="0" t="s">
        <v>636</v>
      </c>
      <c r="I121" s="6" t="n">
        <f aca="false">VLOOKUP(B121,M:O,3,0)</f>
        <v>0.583333333333333</v>
      </c>
      <c r="J121" s="0" t="str">
        <f aca="false">VLOOKUP(B121,M:P,4,0)</f>
        <v>BONATE SOTTO VIA GIUSEPPE GARIBALDI 15</v>
      </c>
    </row>
    <row r="122" customFormat="false" ht="12.5" hidden="false" customHeight="false" outlineLevel="0" collapsed="false">
      <c r="A122" s="22" t="n">
        <v>46060</v>
      </c>
      <c r="B122" s="0" t="s">
        <v>802</v>
      </c>
      <c r="C122" s="0" t="s">
        <v>809</v>
      </c>
      <c r="D122" s="0" t="s">
        <v>774</v>
      </c>
      <c r="E122" s="0" t="s">
        <v>578</v>
      </c>
      <c r="F122" s="0" t="n">
        <v>1</v>
      </c>
      <c r="G122" s="0" t="s">
        <v>553</v>
      </c>
      <c r="H122" s="0" t="s">
        <v>636</v>
      </c>
      <c r="I122" s="6" t="n">
        <f aca="false">VLOOKUP(B122,M:O,3,0)</f>
        <v>0.625</v>
      </c>
      <c r="J122" s="0" t="str">
        <f aca="false">VLOOKUP(B122,M:P,4,0)</f>
        <v>CISANO BERGAMASCO VIA CA'DE VOLPI 7</v>
      </c>
    </row>
    <row r="123" customFormat="false" ht="12.5" hidden="false" customHeight="false" outlineLevel="0" collapsed="false">
      <c r="A123" s="22" t="n">
        <v>46067</v>
      </c>
      <c r="B123" s="0" t="s">
        <v>804</v>
      </c>
      <c r="C123" s="0" t="s">
        <v>798</v>
      </c>
      <c r="D123" s="0" t="s">
        <v>774</v>
      </c>
      <c r="E123" s="0" t="s">
        <v>578</v>
      </c>
      <c r="F123" s="0" t="n">
        <v>2</v>
      </c>
      <c r="G123" s="0" t="s">
        <v>553</v>
      </c>
      <c r="H123" s="0" t="s">
        <v>636</v>
      </c>
      <c r="I123" s="6" t="n">
        <f aca="false">VLOOKUP(B123,M:O,3,0)</f>
        <v>0.625</v>
      </c>
      <c r="J123" s="0" t="str">
        <f aca="false">VLOOKUP(B123,M:P,4,0)</f>
        <v>AZZANO SAN PAOLO VIA STEZZANO 33</v>
      </c>
    </row>
    <row r="124" customFormat="false" ht="12.5" hidden="false" customHeight="false" outlineLevel="0" collapsed="false">
      <c r="A124" s="22" t="n">
        <v>46067</v>
      </c>
      <c r="B124" s="0" t="s">
        <v>805</v>
      </c>
      <c r="C124" s="0" t="s">
        <v>801</v>
      </c>
      <c r="D124" s="0" t="s">
        <v>774</v>
      </c>
      <c r="E124" s="0" t="s">
        <v>578</v>
      </c>
      <c r="F124" s="0" t="n">
        <v>2</v>
      </c>
      <c r="G124" s="0" t="s">
        <v>553</v>
      </c>
      <c r="H124" s="0" t="s">
        <v>636</v>
      </c>
      <c r="I124" s="6" t="n">
        <f aca="false">VLOOKUP(B124,M:O,3,0)</f>
        <v>0.604166666666667</v>
      </c>
      <c r="J124" s="0" t="str">
        <f aca="false">VLOOKUP(B124,M:P,4,0)</f>
        <v>FARA OLIVANA CON SOLA VIA VITTORIO EMANUELE SNC</v>
      </c>
    </row>
    <row r="125" customFormat="false" ht="12.5" hidden="false" customHeight="false" outlineLevel="0" collapsed="false">
      <c r="A125" s="22" t="n">
        <v>46068</v>
      </c>
      <c r="B125" s="0" t="s">
        <v>600</v>
      </c>
      <c r="C125" s="0" t="s">
        <v>799</v>
      </c>
      <c r="D125" s="0" t="s">
        <v>774</v>
      </c>
      <c r="E125" s="0" t="s">
        <v>578</v>
      </c>
      <c r="F125" s="0" t="n">
        <v>2</v>
      </c>
      <c r="G125" s="0" t="s">
        <v>553</v>
      </c>
      <c r="H125" s="0" t="s">
        <v>636</v>
      </c>
      <c r="I125" s="6" t="n">
        <f aca="false">VLOOKUP(B125,M:O,3,0)</f>
        <v>0.416666666666667</v>
      </c>
      <c r="J125" s="0" t="str">
        <f aca="false">VLOOKUP(B125,M:P,4,0)</f>
        <v>CARVICO VIA PEDRAZZI</v>
      </c>
    </row>
    <row r="126" customFormat="false" ht="12.5" hidden="false" customHeight="false" outlineLevel="0" collapsed="false">
      <c r="A126" s="22" t="n">
        <v>46067</v>
      </c>
      <c r="B126" s="0" t="s">
        <v>807</v>
      </c>
      <c r="C126" s="0" t="s">
        <v>802</v>
      </c>
      <c r="D126" s="0" t="s">
        <v>774</v>
      </c>
      <c r="E126" s="0" t="s">
        <v>578</v>
      </c>
      <c r="F126" s="0" t="n">
        <v>2</v>
      </c>
      <c r="G126" s="0" t="s">
        <v>553</v>
      </c>
      <c r="H126" s="0" t="s">
        <v>636</v>
      </c>
      <c r="I126" s="6" t="n">
        <f aca="false">VLOOKUP(B126,M:O,3,0)</f>
        <v>0.416666666666667</v>
      </c>
      <c r="J126" s="0" t="str">
        <f aca="false">VLOOKUP(B126,M:P,4,0)</f>
        <v>TREVIGLIO VIA AI MALGARI 1</v>
      </c>
    </row>
    <row r="127" customFormat="false" ht="12.5" hidden="false" customHeight="false" outlineLevel="0" collapsed="false">
      <c r="A127" s="22" t="n">
        <v>46074</v>
      </c>
      <c r="B127" s="0" t="s">
        <v>798</v>
      </c>
      <c r="C127" s="0" t="s">
        <v>809</v>
      </c>
      <c r="D127" s="0" t="s">
        <v>774</v>
      </c>
      <c r="E127" s="0" t="s">
        <v>578</v>
      </c>
      <c r="F127" s="0" t="n">
        <v>3</v>
      </c>
      <c r="G127" s="0" t="s">
        <v>553</v>
      </c>
      <c r="H127" s="0" t="s">
        <v>636</v>
      </c>
      <c r="I127" s="6" t="n">
        <f aca="false">VLOOKUP(B127,M:O,3,0)</f>
        <v>0.458333333333333</v>
      </c>
      <c r="J127" s="0" t="str">
        <f aca="false">VLOOKUP(B127,M:P,4,0)</f>
        <v>FILAGO VIA ANTONIO LOCATELLI 42</v>
      </c>
    </row>
    <row r="128" customFormat="false" ht="12.5" hidden="false" customHeight="false" outlineLevel="0" collapsed="false">
      <c r="A128" s="22" t="n">
        <v>46074</v>
      </c>
      <c r="B128" s="0" t="s">
        <v>801</v>
      </c>
      <c r="C128" s="0" t="s">
        <v>804</v>
      </c>
      <c r="D128" s="0" t="s">
        <v>774</v>
      </c>
      <c r="E128" s="0" t="s">
        <v>578</v>
      </c>
      <c r="F128" s="0" t="n">
        <v>3</v>
      </c>
      <c r="G128" s="0" t="s">
        <v>553</v>
      </c>
      <c r="H128" s="0" t="s">
        <v>636</v>
      </c>
      <c r="I128" s="6" t="n">
        <f aca="false">VLOOKUP(B128,M:O,3,0)</f>
        <v>0.583333333333333</v>
      </c>
      <c r="J128" s="0" t="str">
        <f aca="false">VLOOKUP(B128,M:P,4,0)</f>
        <v>BONATE SOTTO VIA GIUSEPPE GARIBALDI 15</v>
      </c>
    </row>
    <row r="129" customFormat="false" ht="12.5" hidden="false" customHeight="false" outlineLevel="0" collapsed="false">
      <c r="A129" s="22" t="n">
        <v>46074</v>
      </c>
      <c r="B129" s="0" t="s">
        <v>802</v>
      </c>
      <c r="C129" s="0" t="s">
        <v>799</v>
      </c>
      <c r="D129" s="0" t="s">
        <v>774</v>
      </c>
      <c r="E129" s="0" t="s">
        <v>578</v>
      </c>
      <c r="F129" s="0" t="n">
        <v>3</v>
      </c>
      <c r="G129" s="0" t="s">
        <v>553</v>
      </c>
      <c r="H129" s="0" t="s">
        <v>636</v>
      </c>
      <c r="I129" s="6" t="n">
        <f aca="false">VLOOKUP(B129,M:O,3,0)</f>
        <v>0.625</v>
      </c>
      <c r="J129" s="0" t="str">
        <f aca="false">VLOOKUP(B129,M:P,4,0)</f>
        <v>CISANO BERGAMASCO VIA CA'DE VOLPI 7</v>
      </c>
    </row>
    <row r="130" customFormat="false" ht="12.5" hidden="false" customHeight="false" outlineLevel="0" collapsed="false">
      <c r="A130" s="22" t="n">
        <v>46074</v>
      </c>
      <c r="B130" s="0" t="s">
        <v>805</v>
      </c>
      <c r="C130" s="0" t="s">
        <v>600</v>
      </c>
      <c r="D130" s="0" t="s">
        <v>774</v>
      </c>
      <c r="E130" s="0" t="s">
        <v>578</v>
      </c>
      <c r="F130" s="0" t="n">
        <v>3</v>
      </c>
      <c r="G130" s="0" t="s">
        <v>553</v>
      </c>
      <c r="H130" s="0" t="s">
        <v>636</v>
      </c>
      <c r="I130" s="6" t="n">
        <f aca="false">VLOOKUP(B130,M:O,3,0)</f>
        <v>0.604166666666667</v>
      </c>
      <c r="J130" s="0" t="str">
        <f aca="false">VLOOKUP(B130,M:P,4,0)</f>
        <v>FARA OLIVANA CON SOLA VIA VITTORIO EMANUELE SNC</v>
      </c>
    </row>
    <row r="131" customFormat="false" ht="12.5" hidden="false" customHeight="false" outlineLevel="0" collapsed="false">
      <c r="A131" s="22" t="n">
        <v>46081</v>
      </c>
      <c r="B131" s="0" t="s">
        <v>804</v>
      </c>
      <c r="C131" s="0" t="s">
        <v>805</v>
      </c>
      <c r="D131" s="0" t="s">
        <v>774</v>
      </c>
      <c r="E131" s="0" t="s">
        <v>578</v>
      </c>
      <c r="F131" s="0" t="n">
        <v>4</v>
      </c>
      <c r="G131" s="0" t="s">
        <v>553</v>
      </c>
      <c r="H131" s="0" t="s">
        <v>636</v>
      </c>
      <c r="I131" s="6" t="n">
        <f aca="false">VLOOKUP(B131,M:O,3,0)</f>
        <v>0.625</v>
      </c>
      <c r="J131" s="0" t="str">
        <f aca="false">VLOOKUP(B131,M:P,4,0)</f>
        <v>AZZANO SAN PAOLO VIA STEZZANO 33</v>
      </c>
    </row>
    <row r="132" customFormat="false" ht="12.5" hidden="false" customHeight="false" outlineLevel="0" collapsed="false">
      <c r="A132" s="22" t="n">
        <v>46082</v>
      </c>
      <c r="B132" s="0" t="s">
        <v>809</v>
      </c>
      <c r="C132" s="0" t="s">
        <v>801</v>
      </c>
      <c r="D132" s="0" t="s">
        <v>774</v>
      </c>
      <c r="E132" s="0" t="s">
        <v>578</v>
      </c>
      <c r="F132" s="0" t="n">
        <v>4</v>
      </c>
      <c r="G132" s="0" t="s">
        <v>553</v>
      </c>
      <c r="H132" s="0" t="s">
        <v>636</v>
      </c>
      <c r="I132" s="6" t="n">
        <f aca="false">VLOOKUP(B132,M:O,3,0)</f>
        <v>0.458333333333333</v>
      </c>
      <c r="J132" s="0" t="str">
        <f aca="false">VLOOKUP(B132,M:P,4,0)</f>
        <v>CARVICO VIA PEDRAZZ</v>
      </c>
    </row>
    <row r="133" customFormat="false" ht="12.5" hidden="false" customHeight="false" outlineLevel="0" collapsed="false">
      <c r="A133" s="22" t="n">
        <v>46082</v>
      </c>
      <c r="B133" s="0" t="s">
        <v>600</v>
      </c>
      <c r="C133" s="0" t="s">
        <v>802</v>
      </c>
      <c r="D133" s="0" t="s">
        <v>774</v>
      </c>
      <c r="E133" s="0" t="s">
        <v>578</v>
      </c>
      <c r="F133" s="0" t="n">
        <v>4</v>
      </c>
      <c r="G133" s="0" t="s">
        <v>553</v>
      </c>
      <c r="H133" s="0" t="s">
        <v>636</v>
      </c>
      <c r="I133" s="6" t="n">
        <f aca="false">VLOOKUP(B133,M:O,3,0)</f>
        <v>0.416666666666667</v>
      </c>
      <c r="J133" s="0" t="str">
        <f aca="false">VLOOKUP(B133,M:P,4,0)</f>
        <v>CARVICO VIA PEDRAZZI</v>
      </c>
    </row>
    <row r="134" customFormat="false" ht="12.5" hidden="false" customHeight="false" outlineLevel="0" collapsed="false">
      <c r="A134" s="22" t="n">
        <v>46081</v>
      </c>
      <c r="B134" s="0" t="s">
        <v>807</v>
      </c>
      <c r="C134" s="0" t="s">
        <v>798</v>
      </c>
      <c r="D134" s="0" t="s">
        <v>774</v>
      </c>
      <c r="E134" s="0" t="s">
        <v>578</v>
      </c>
      <c r="F134" s="0" t="n">
        <v>4</v>
      </c>
      <c r="G134" s="0" t="s">
        <v>553</v>
      </c>
      <c r="H134" s="0" t="s">
        <v>636</v>
      </c>
      <c r="I134" s="6" t="n">
        <f aca="false">VLOOKUP(B134,M:O,3,0)</f>
        <v>0.416666666666667</v>
      </c>
      <c r="J134" s="0" t="str">
        <f aca="false">VLOOKUP(B134,M:P,4,0)</f>
        <v>TREVIGLIO VIA AI MALGARI 1</v>
      </c>
    </row>
    <row r="135" customFormat="false" ht="12.5" hidden="false" customHeight="false" outlineLevel="0" collapsed="false">
      <c r="A135" s="22" t="n">
        <v>46088</v>
      </c>
      <c r="B135" s="0" t="s">
        <v>798</v>
      </c>
      <c r="C135" s="0" t="s">
        <v>799</v>
      </c>
      <c r="D135" s="0" t="s">
        <v>774</v>
      </c>
      <c r="E135" s="0" t="s">
        <v>578</v>
      </c>
      <c r="F135" s="0" t="n">
        <v>5</v>
      </c>
      <c r="G135" s="0" t="s">
        <v>553</v>
      </c>
      <c r="H135" s="0" t="s">
        <v>636</v>
      </c>
      <c r="I135" s="6" t="n">
        <f aca="false">VLOOKUP(B135,M:O,3,0)</f>
        <v>0.458333333333333</v>
      </c>
      <c r="J135" s="0" t="str">
        <f aca="false">VLOOKUP(B135,M:P,4,0)</f>
        <v>FILAGO VIA ANTONIO LOCATELLI 42</v>
      </c>
    </row>
    <row r="136" customFormat="false" ht="12.5" hidden="false" customHeight="false" outlineLevel="0" collapsed="false">
      <c r="A136" s="22" t="n">
        <v>46088</v>
      </c>
      <c r="B136" s="0" t="s">
        <v>804</v>
      </c>
      <c r="C136" s="0" t="s">
        <v>600</v>
      </c>
      <c r="D136" s="0" t="s">
        <v>774</v>
      </c>
      <c r="E136" s="0" t="s">
        <v>578</v>
      </c>
      <c r="F136" s="0" t="n">
        <v>5</v>
      </c>
      <c r="G136" s="0" t="s">
        <v>553</v>
      </c>
      <c r="H136" s="0" t="s">
        <v>636</v>
      </c>
      <c r="I136" s="6" t="n">
        <f aca="false">VLOOKUP(B136,M:O,3,0)</f>
        <v>0.625</v>
      </c>
      <c r="J136" s="0" t="str">
        <f aca="false">VLOOKUP(B136,M:P,4,0)</f>
        <v>AZZANO SAN PAOLO VIA STEZZANO 33</v>
      </c>
    </row>
    <row r="137" customFormat="false" ht="12.5" hidden="false" customHeight="false" outlineLevel="0" collapsed="false">
      <c r="A137" s="22" t="n">
        <v>46088</v>
      </c>
      <c r="B137" s="0" t="s">
        <v>801</v>
      </c>
      <c r="C137" s="0" t="s">
        <v>807</v>
      </c>
      <c r="D137" s="0" t="s">
        <v>774</v>
      </c>
      <c r="E137" s="0" t="s">
        <v>578</v>
      </c>
      <c r="F137" s="0" t="n">
        <v>5</v>
      </c>
      <c r="G137" s="0" t="s">
        <v>553</v>
      </c>
      <c r="H137" s="0" t="s">
        <v>636</v>
      </c>
      <c r="I137" s="6" t="n">
        <f aca="false">VLOOKUP(B137,M:O,3,0)</f>
        <v>0.583333333333333</v>
      </c>
      <c r="J137" s="0" t="str">
        <f aca="false">VLOOKUP(B137,M:P,4,0)</f>
        <v>BONATE SOTTO VIA GIUSEPPE GARIBALDI 15</v>
      </c>
    </row>
    <row r="138" customFormat="false" ht="12.5" hidden="false" customHeight="false" outlineLevel="0" collapsed="false">
      <c r="A138" s="22" t="n">
        <v>46088</v>
      </c>
      <c r="B138" s="0" t="s">
        <v>805</v>
      </c>
      <c r="C138" s="0" t="s">
        <v>809</v>
      </c>
      <c r="D138" s="0" t="s">
        <v>774</v>
      </c>
      <c r="E138" s="0" t="s">
        <v>578</v>
      </c>
      <c r="F138" s="0" t="n">
        <v>5</v>
      </c>
      <c r="G138" s="0" t="s">
        <v>553</v>
      </c>
      <c r="H138" s="0" t="s">
        <v>636</v>
      </c>
      <c r="I138" s="6" t="n">
        <f aca="false">VLOOKUP(B138,M:O,3,0)</f>
        <v>0.604166666666667</v>
      </c>
      <c r="J138" s="0" t="str">
        <f aca="false">VLOOKUP(B138,M:P,4,0)</f>
        <v>FARA OLIVANA CON SOLA VIA VITTORIO EMANUELE SNC</v>
      </c>
    </row>
    <row r="139" customFormat="false" ht="12.5" hidden="false" customHeight="false" outlineLevel="0" collapsed="false">
      <c r="A139" s="22" t="n">
        <v>46095</v>
      </c>
      <c r="B139" s="0" t="s">
        <v>799</v>
      </c>
      <c r="C139" s="0" t="s">
        <v>801</v>
      </c>
      <c r="D139" s="0" t="s">
        <v>774</v>
      </c>
      <c r="E139" s="0" t="s">
        <v>578</v>
      </c>
      <c r="F139" s="0" t="n">
        <v>6</v>
      </c>
      <c r="G139" s="0" t="s">
        <v>553</v>
      </c>
      <c r="H139" s="0" t="s">
        <v>636</v>
      </c>
      <c r="I139" s="6" t="n">
        <f aca="false">VLOOKUP(B139,M:O,3,0)</f>
        <v>0.625</v>
      </c>
      <c r="J139" s="0" t="str">
        <f aca="false">VLOOKUP(B139,M:P,4,0)</f>
        <v>AZZANO SAN PAOLO VIA STEZZANO 33</v>
      </c>
    </row>
    <row r="140" customFormat="false" ht="12.5" hidden="false" customHeight="false" outlineLevel="0" collapsed="false">
      <c r="A140" s="22" t="n">
        <v>46095</v>
      </c>
      <c r="B140" s="0" t="s">
        <v>802</v>
      </c>
      <c r="C140" s="0" t="s">
        <v>798</v>
      </c>
      <c r="D140" s="0" t="s">
        <v>774</v>
      </c>
      <c r="E140" s="0" t="s">
        <v>578</v>
      </c>
      <c r="F140" s="0" t="n">
        <v>6</v>
      </c>
      <c r="G140" s="0" t="s">
        <v>553</v>
      </c>
      <c r="H140" s="0" t="s">
        <v>636</v>
      </c>
      <c r="I140" s="6" t="n">
        <f aca="false">VLOOKUP(B140,M:O,3,0)</f>
        <v>0.625</v>
      </c>
      <c r="J140" s="0" t="str">
        <f aca="false">VLOOKUP(B140,M:P,4,0)</f>
        <v>CISANO BERGAMASCO VIA CA'DE VOLPI 7</v>
      </c>
    </row>
    <row r="141" customFormat="false" ht="12.5" hidden="false" customHeight="false" outlineLevel="0" collapsed="false">
      <c r="A141" s="22" t="n">
        <v>46096</v>
      </c>
      <c r="B141" s="0" t="s">
        <v>809</v>
      </c>
      <c r="C141" s="0" t="s">
        <v>804</v>
      </c>
      <c r="D141" s="0" t="s">
        <v>774</v>
      </c>
      <c r="E141" s="0" t="s">
        <v>578</v>
      </c>
      <c r="F141" s="0" t="n">
        <v>6</v>
      </c>
      <c r="G141" s="0" t="s">
        <v>553</v>
      </c>
      <c r="H141" s="0" t="s">
        <v>636</v>
      </c>
      <c r="I141" s="6" t="n">
        <f aca="false">VLOOKUP(B141,M:O,3,0)</f>
        <v>0.458333333333333</v>
      </c>
      <c r="J141" s="0" t="str">
        <f aca="false">VLOOKUP(B141,M:P,4,0)</f>
        <v>CARVICO VIA PEDRAZZ</v>
      </c>
    </row>
    <row r="142" customFormat="false" ht="12.5" hidden="false" customHeight="false" outlineLevel="0" collapsed="false">
      <c r="A142" s="22" t="n">
        <v>46095</v>
      </c>
      <c r="B142" s="0" t="s">
        <v>807</v>
      </c>
      <c r="C142" s="0" t="s">
        <v>805</v>
      </c>
      <c r="D142" s="0" t="s">
        <v>774</v>
      </c>
      <c r="E142" s="0" t="s">
        <v>578</v>
      </c>
      <c r="F142" s="0" t="n">
        <v>6</v>
      </c>
      <c r="G142" s="0" t="s">
        <v>553</v>
      </c>
      <c r="H142" s="0" t="s">
        <v>636</v>
      </c>
      <c r="I142" s="6" t="n">
        <f aca="false">VLOOKUP(B142,M:O,3,0)</f>
        <v>0.416666666666667</v>
      </c>
      <c r="J142" s="0" t="str">
        <f aca="false">VLOOKUP(B142,M:P,4,0)</f>
        <v>TREVIGLIO VIA AI MALGARI 1</v>
      </c>
    </row>
    <row r="143" customFormat="false" ht="12.5" hidden="false" customHeight="false" outlineLevel="0" collapsed="false">
      <c r="A143" s="22" t="n">
        <v>46102</v>
      </c>
      <c r="B143" s="0" t="s">
        <v>804</v>
      </c>
      <c r="C143" s="0" t="s">
        <v>807</v>
      </c>
      <c r="D143" s="0" t="s">
        <v>774</v>
      </c>
      <c r="E143" s="0" t="s">
        <v>578</v>
      </c>
      <c r="F143" s="0" t="n">
        <v>7</v>
      </c>
      <c r="G143" s="0" t="s">
        <v>553</v>
      </c>
      <c r="H143" s="0" t="s">
        <v>636</v>
      </c>
      <c r="I143" s="6" t="n">
        <f aca="false">VLOOKUP(B143,M:O,3,0)</f>
        <v>0.625</v>
      </c>
      <c r="J143" s="0" t="str">
        <f aca="false">VLOOKUP(B143,M:P,4,0)</f>
        <v>AZZANO SAN PAOLO VIA STEZZANO 33</v>
      </c>
    </row>
    <row r="144" customFormat="false" ht="12.5" hidden="false" customHeight="false" outlineLevel="0" collapsed="false">
      <c r="A144" s="22" t="n">
        <v>46102</v>
      </c>
      <c r="B144" s="0" t="s">
        <v>801</v>
      </c>
      <c r="C144" s="0" t="s">
        <v>802</v>
      </c>
      <c r="D144" s="0" t="s">
        <v>774</v>
      </c>
      <c r="E144" s="0" t="s">
        <v>578</v>
      </c>
      <c r="F144" s="0" t="n">
        <v>7</v>
      </c>
      <c r="G144" s="0" t="s">
        <v>553</v>
      </c>
      <c r="H144" s="0" t="s">
        <v>636</v>
      </c>
      <c r="I144" s="6" t="n">
        <f aca="false">VLOOKUP(B144,M:O,3,0)</f>
        <v>0.583333333333333</v>
      </c>
      <c r="J144" s="0" t="str">
        <f aca="false">VLOOKUP(B144,M:P,4,0)</f>
        <v>BONATE SOTTO VIA GIUSEPPE GARIBALDI 15</v>
      </c>
    </row>
    <row r="145" customFormat="false" ht="12.5" hidden="false" customHeight="false" outlineLevel="0" collapsed="false">
      <c r="A145" s="22" t="n">
        <v>46102</v>
      </c>
      <c r="B145" s="0" t="s">
        <v>805</v>
      </c>
      <c r="C145" s="0" t="s">
        <v>799</v>
      </c>
      <c r="D145" s="0" t="s">
        <v>774</v>
      </c>
      <c r="E145" s="0" t="s">
        <v>578</v>
      </c>
      <c r="F145" s="0" t="n">
        <v>7</v>
      </c>
      <c r="G145" s="0" t="s">
        <v>553</v>
      </c>
      <c r="H145" s="0" t="s">
        <v>636</v>
      </c>
      <c r="I145" s="6" t="n">
        <f aca="false">VLOOKUP(B145,M:O,3,0)</f>
        <v>0.604166666666667</v>
      </c>
      <c r="J145" s="0" t="str">
        <f aca="false">VLOOKUP(B145,M:P,4,0)</f>
        <v>FARA OLIVANA CON SOLA VIA VITTORIO EMANUELE SNC</v>
      </c>
    </row>
    <row r="146" customFormat="false" ht="12.5" hidden="false" customHeight="false" outlineLevel="0" collapsed="false">
      <c r="A146" s="22" t="n">
        <v>46103</v>
      </c>
      <c r="B146" s="0" t="s">
        <v>809</v>
      </c>
      <c r="C146" s="0" t="s">
        <v>600</v>
      </c>
      <c r="D146" s="0" t="s">
        <v>774</v>
      </c>
      <c r="E146" s="0" t="s">
        <v>578</v>
      </c>
      <c r="F146" s="0" t="n">
        <v>7</v>
      </c>
      <c r="G146" s="0" t="s">
        <v>553</v>
      </c>
      <c r="H146" s="0" t="s">
        <v>636</v>
      </c>
      <c r="I146" s="6" t="n">
        <f aca="false">VLOOKUP(B146,M:O,3,0)</f>
        <v>0.458333333333333</v>
      </c>
      <c r="J146" s="0" t="str">
        <f aca="false">VLOOKUP(B146,M:P,4,0)</f>
        <v>CARVICO VIA PEDRAZZ</v>
      </c>
    </row>
    <row r="147" customFormat="false" ht="12.5" hidden="false" customHeight="false" outlineLevel="0" collapsed="false">
      <c r="A147" s="22" t="n">
        <v>46109</v>
      </c>
      <c r="B147" s="0" t="s">
        <v>798</v>
      </c>
      <c r="C147" s="0" t="s">
        <v>600</v>
      </c>
      <c r="D147" s="0" t="s">
        <v>774</v>
      </c>
      <c r="E147" s="0" t="s">
        <v>578</v>
      </c>
      <c r="F147" s="0" t="n">
        <v>8</v>
      </c>
      <c r="G147" s="0" t="s">
        <v>553</v>
      </c>
      <c r="H147" s="0" t="s">
        <v>636</v>
      </c>
      <c r="I147" s="6" t="n">
        <f aca="false">VLOOKUP(B147,M:O,3,0)</f>
        <v>0.458333333333333</v>
      </c>
      <c r="J147" s="0" t="str">
        <f aca="false">VLOOKUP(B147,M:P,4,0)</f>
        <v>FILAGO VIA ANTONIO LOCATELLI 42</v>
      </c>
    </row>
    <row r="148" customFormat="false" ht="12.5" hidden="false" customHeight="false" outlineLevel="0" collapsed="false">
      <c r="A148" s="22" t="n">
        <v>46109</v>
      </c>
      <c r="B148" s="0" t="s">
        <v>799</v>
      </c>
      <c r="C148" s="0" t="s">
        <v>804</v>
      </c>
      <c r="D148" s="0" t="s">
        <v>774</v>
      </c>
      <c r="E148" s="0" t="s">
        <v>578</v>
      </c>
      <c r="F148" s="0" t="n">
        <v>8</v>
      </c>
      <c r="G148" s="0" t="s">
        <v>553</v>
      </c>
      <c r="H148" s="0" t="s">
        <v>636</v>
      </c>
      <c r="I148" s="6" t="n">
        <f aca="false">VLOOKUP(B148,M:O,3,0)</f>
        <v>0.625</v>
      </c>
      <c r="J148" s="0" t="str">
        <f aca="false">VLOOKUP(B148,M:P,4,0)</f>
        <v>AZZANO SAN PAOLO VIA STEZZANO 33</v>
      </c>
    </row>
    <row r="149" customFormat="false" ht="12.5" hidden="false" customHeight="false" outlineLevel="0" collapsed="false">
      <c r="A149" s="22" t="n">
        <v>46109</v>
      </c>
      <c r="B149" s="0" t="s">
        <v>802</v>
      </c>
      <c r="C149" s="0" t="s">
        <v>805</v>
      </c>
      <c r="D149" s="0" t="s">
        <v>774</v>
      </c>
      <c r="E149" s="0" t="s">
        <v>578</v>
      </c>
      <c r="F149" s="0" t="n">
        <v>8</v>
      </c>
      <c r="G149" s="0" t="s">
        <v>553</v>
      </c>
      <c r="H149" s="0" t="s">
        <v>636</v>
      </c>
      <c r="I149" s="6" t="n">
        <f aca="false">VLOOKUP(B149,M:O,3,0)</f>
        <v>0.625</v>
      </c>
      <c r="J149" s="0" t="str">
        <f aca="false">VLOOKUP(B149,M:P,4,0)</f>
        <v>CISANO BERGAMASCO VIA CA'DE VOLPI 7</v>
      </c>
    </row>
    <row r="150" customFormat="false" ht="12.5" hidden="false" customHeight="false" outlineLevel="0" collapsed="false">
      <c r="A150" s="22" t="n">
        <v>46109</v>
      </c>
      <c r="B150" s="0" t="s">
        <v>807</v>
      </c>
      <c r="C150" s="0" t="s">
        <v>809</v>
      </c>
      <c r="D150" s="0" t="s">
        <v>774</v>
      </c>
      <c r="E150" s="0" t="s">
        <v>578</v>
      </c>
      <c r="F150" s="0" t="n">
        <v>8</v>
      </c>
      <c r="G150" s="0" t="s">
        <v>553</v>
      </c>
      <c r="H150" s="0" t="s">
        <v>636</v>
      </c>
      <c r="I150" s="6" t="n">
        <f aca="false">VLOOKUP(B150,M:O,3,0)</f>
        <v>0.416666666666667</v>
      </c>
      <c r="J150" s="0" t="str">
        <f aca="false">VLOOKUP(B150,M:P,4,0)</f>
        <v>TREVIGLIO VIA AI MALGARI 1</v>
      </c>
    </row>
    <row r="151" customFormat="false" ht="12.5" hidden="false" customHeight="false" outlineLevel="0" collapsed="false">
      <c r="A151" s="22" t="n">
        <v>46123</v>
      </c>
      <c r="B151" s="0" t="s">
        <v>804</v>
      </c>
      <c r="C151" s="0" t="s">
        <v>802</v>
      </c>
      <c r="D151" s="0" t="s">
        <v>774</v>
      </c>
      <c r="E151" s="0" t="s">
        <v>578</v>
      </c>
      <c r="F151" s="0" t="n">
        <v>9</v>
      </c>
      <c r="G151" s="0" t="s">
        <v>553</v>
      </c>
      <c r="H151" s="0" t="s">
        <v>636</v>
      </c>
      <c r="I151" s="6" t="n">
        <f aca="false">VLOOKUP(B151,M:O,3,0)</f>
        <v>0.625</v>
      </c>
      <c r="J151" s="0" t="str">
        <f aca="false">VLOOKUP(B151,M:P,4,0)</f>
        <v>AZZANO SAN PAOLO VIA STEZZANO 33</v>
      </c>
    </row>
    <row r="152" customFormat="false" ht="12.5" hidden="false" customHeight="false" outlineLevel="0" collapsed="false">
      <c r="A152" s="22" t="n">
        <v>46123</v>
      </c>
      <c r="B152" s="0" t="s">
        <v>801</v>
      </c>
      <c r="C152" s="0" t="s">
        <v>798</v>
      </c>
      <c r="D152" s="0" t="s">
        <v>774</v>
      </c>
      <c r="E152" s="0" t="s">
        <v>578</v>
      </c>
      <c r="F152" s="0" t="n">
        <v>9</v>
      </c>
      <c r="G152" s="0" t="s">
        <v>553</v>
      </c>
      <c r="H152" s="0" t="s">
        <v>636</v>
      </c>
      <c r="I152" s="6" t="n">
        <f aca="false">VLOOKUP(B152,M:O,3,0)</f>
        <v>0.583333333333333</v>
      </c>
      <c r="J152" s="0" t="str">
        <f aca="false">VLOOKUP(B152,M:P,4,0)</f>
        <v>BONATE SOTTO VIA GIUSEPPE GARIBALDI 15</v>
      </c>
    </row>
    <row r="153" customFormat="false" ht="12.5" hidden="false" customHeight="false" outlineLevel="0" collapsed="false">
      <c r="A153" s="22" t="n">
        <v>46124</v>
      </c>
      <c r="B153" s="0" t="s">
        <v>809</v>
      </c>
      <c r="C153" s="0" t="s">
        <v>799</v>
      </c>
      <c r="D153" s="0" t="s">
        <v>774</v>
      </c>
      <c r="E153" s="0" t="s">
        <v>578</v>
      </c>
      <c r="F153" s="0" t="n">
        <v>9</v>
      </c>
      <c r="G153" s="0" t="s">
        <v>553</v>
      </c>
      <c r="H153" s="0" t="s">
        <v>636</v>
      </c>
      <c r="I153" s="6" t="n">
        <f aca="false">VLOOKUP(B153,M:O,3,0)</f>
        <v>0.458333333333333</v>
      </c>
      <c r="J153" s="0" t="str">
        <f aca="false">VLOOKUP(B153,M:P,4,0)</f>
        <v>CARVICO VIA PEDRAZZ</v>
      </c>
    </row>
    <row r="154" customFormat="false" ht="12.5" hidden="false" customHeight="false" outlineLevel="0" collapsed="false">
      <c r="A154" s="22" t="n">
        <v>46124</v>
      </c>
      <c r="B154" s="0" t="s">
        <v>600</v>
      </c>
      <c r="C154" s="0" t="s">
        <v>807</v>
      </c>
      <c r="D154" s="0" t="s">
        <v>774</v>
      </c>
      <c r="E154" s="0" t="s">
        <v>578</v>
      </c>
      <c r="F154" s="0" t="n">
        <v>9</v>
      </c>
      <c r="G154" s="0" t="s">
        <v>553</v>
      </c>
      <c r="H154" s="0" t="s">
        <v>315</v>
      </c>
      <c r="I154" s="6" t="n">
        <f aca="false">VLOOKUP(B154,M:O,3,0)</f>
        <v>0.416666666666667</v>
      </c>
      <c r="J154" s="0" t="str">
        <f aca="false">VLOOKUP(B154,M:P,4,0)</f>
        <v>CARVICO VIA PEDRAZZI</v>
      </c>
    </row>
    <row r="155" customFormat="false" ht="12.5" hidden="false" customHeight="false" outlineLevel="0" collapsed="false">
      <c r="A155" s="22" t="n">
        <v>46060</v>
      </c>
      <c r="B155" s="0" t="s">
        <v>811</v>
      </c>
      <c r="C155" s="0" t="s">
        <v>442</v>
      </c>
      <c r="D155" s="0" t="s">
        <v>774</v>
      </c>
      <c r="E155" s="0" t="s">
        <v>635</v>
      </c>
      <c r="F155" s="0" t="n">
        <v>1</v>
      </c>
      <c r="G155" s="0" t="s">
        <v>553</v>
      </c>
      <c r="H155" s="0" t="s">
        <v>636</v>
      </c>
      <c r="I155" s="6" t="n">
        <f aca="false">VLOOKUP(B155,M:O,3,0)</f>
        <v>0.583333333333333</v>
      </c>
      <c r="J155" s="0" t="str">
        <f aca="false">VLOOKUP(B155,M:P,4,0)</f>
        <v>SERIATE VIA PO 25</v>
      </c>
    </row>
    <row r="156" customFormat="false" ht="12.5" hidden="false" customHeight="false" outlineLevel="0" collapsed="false">
      <c r="A156" s="22" t="n">
        <v>46060</v>
      </c>
      <c r="B156" s="0" t="s">
        <v>435</v>
      </c>
      <c r="C156" s="0" t="s">
        <v>316</v>
      </c>
      <c r="D156" s="0" t="s">
        <v>774</v>
      </c>
      <c r="E156" s="0" t="s">
        <v>635</v>
      </c>
      <c r="F156" s="0" t="n">
        <v>1</v>
      </c>
      <c r="G156" s="0" t="s">
        <v>553</v>
      </c>
      <c r="H156" s="0" t="s">
        <v>636</v>
      </c>
      <c r="I156" s="6" t="n">
        <f aca="false">VLOOKUP(B156,M:O,3,0)</f>
        <v>0.416666666666667</v>
      </c>
      <c r="J156" s="0" t="str">
        <f aca="false">VLOOKUP(B156,M:P,4,0)</f>
        <v>BRUSAPORTO VIA BELVEDERE 1</v>
      </c>
    </row>
    <row r="157" customFormat="false" ht="12.5" hidden="false" customHeight="false" outlineLevel="0" collapsed="false">
      <c r="A157" s="22" t="n">
        <v>46060</v>
      </c>
      <c r="B157" s="0" t="s">
        <v>435</v>
      </c>
      <c r="C157" s="0" t="s">
        <v>818</v>
      </c>
      <c r="D157" s="0" t="s">
        <v>774</v>
      </c>
      <c r="E157" s="0" t="s">
        <v>635</v>
      </c>
      <c r="F157" s="0" t="n">
        <v>1</v>
      </c>
      <c r="G157" s="0" t="s">
        <v>553</v>
      </c>
      <c r="H157" s="0" t="s">
        <v>636</v>
      </c>
      <c r="I157" s="6" t="n">
        <f aca="false">VLOOKUP(B157,M:O,3,0)</f>
        <v>0.416666666666667</v>
      </c>
      <c r="J157" s="0" t="str">
        <f aca="false">VLOOKUP(B157,M:P,4,0)</f>
        <v>BRUSAPORTO VIA BELVEDERE 1</v>
      </c>
    </row>
    <row r="158" customFormat="false" ht="12.5" hidden="false" customHeight="false" outlineLevel="0" collapsed="false">
      <c r="A158" s="22" t="n">
        <v>46060</v>
      </c>
      <c r="B158" s="0" t="s">
        <v>819</v>
      </c>
      <c r="C158" s="0" t="s">
        <v>434</v>
      </c>
      <c r="D158" s="0" t="s">
        <v>774</v>
      </c>
      <c r="E158" s="0" t="s">
        <v>635</v>
      </c>
      <c r="F158" s="0" t="n">
        <v>1</v>
      </c>
      <c r="G158" s="0" t="s">
        <v>553</v>
      </c>
      <c r="H158" s="0" t="s">
        <v>636</v>
      </c>
      <c r="I158" s="6" t="n">
        <f aca="false">VLOOKUP(B158,M:O,3,0)</f>
        <v>0.40625</v>
      </c>
      <c r="J158" s="0" t="str">
        <f aca="false">VLOOKUP(B158,M:P,4,0)</f>
        <v>MARTINENGO VIA B. COLLEONI 28</v>
      </c>
    </row>
    <row r="159" customFormat="false" ht="12.5" hidden="false" customHeight="false" outlineLevel="0" collapsed="false">
      <c r="A159" s="22" t="n">
        <v>46067</v>
      </c>
      <c r="B159" s="0" t="s">
        <v>442</v>
      </c>
      <c r="C159" s="0" t="s">
        <v>434</v>
      </c>
      <c r="D159" s="0" t="s">
        <v>774</v>
      </c>
      <c r="E159" s="0" t="s">
        <v>635</v>
      </c>
      <c r="F159" s="0" t="n">
        <v>2</v>
      </c>
      <c r="G159" s="0" t="s">
        <v>553</v>
      </c>
      <c r="H159" s="0" t="s">
        <v>636</v>
      </c>
      <c r="I159" s="6" t="n">
        <f aca="false">VLOOKUP(B159,M:O,3,0)</f>
        <v>0.395833333333333</v>
      </c>
      <c r="J159" s="0" t="str">
        <f aca="false">VLOOKUP(B159,M:P,4,0)</f>
        <v>ZANICA VIA COMUN NUOVO 26-28</v>
      </c>
    </row>
    <row r="160" customFormat="false" ht="12.5" hidden="false" customHeight="false" outlineLevel="0" collapsed="false">
      <c r="A160" s="22" t="n">
        <v>46067</v>
      </c>
      <c r="B160" s="0" t="s">
        <v>817</v>
      </c>
      <c r="C160" s="0" t="s">
        <v>316</v>
      </c>
      <c r="D160" s="0" t="s">
        <v>774</v>
      </c>
      <c r="E160" s="0" t="s">
        <v>635</v>
      </c>
      <c r="F160" s="0" t="n">
        <v>2</v>
      </c>
      <c r="G160" s="0" t="s">
        <v>553</v>
      </c>
      <c r="H160" s="0" t="s">
        <v>636</v>
      </c>
      <c r="I160" s="6" t="n">
        <f aca="false">VLOOKUP(B160,M:O,3,0)</f>
        <v>0.625</v>
      </c>
      <c r="J160" s="0" t="str">
        <f aca="false">VLOOKUP(B160,M:P,4,0)</f>
        <v>AZZANO SAN PAOLO VIA STEZZANO 33</v>
      </c>
    </row>
    <row r="161" customFormat="false" ht="12.5" hidden="false" customHeight="false" outlineLevel="0" collapsed="false">
      <c r="A161" s="22" t="n">
        <v>46067</v>
      </c>
      <c r="B161" s="0" t="s">
        <v>818</v>
      </c>
      <c r="C161" s="0" t="s">
        <v>819</v>
      </c>
      <c r="D161" s="0" t="s">
        <v>774</v>
      </c>
      <c r="E161" s="0" t="s">
        <v>635</v>
      </c>
      <c r="F161" s="0" t="n">
        <v>2</v>
      </c>
      <c r="G161" s="0" t="s">
        <v>553</v>
      </c>
      <c r="H161" s="0" t="s">
        <v>636</v>
      </c>
      <c r="I161" s="6" t="n">
        <f aca="false">VLOOKUP(B161,M:O,3,0)</f>
        <v>0.604166666666667</v>
      </c>
      <c r="J161" s="0" t="str">
        <f aca="false">VLOOKUP(B161,M:P,4,0)</f>
        <v>LALLIO VIA EVARISTO BASCHENIS</v>
      </c>
    </row>
    <row r="162" customFormat="false" ht="12.5" hidden="false" customHeight="false" outlineLevel="0" collapsed="false">
      <c r="A162" s="22" t="n">
        <v>46067</v>
      </c>
      <c r="B162" s="0" t="s">
        <v>559</v>
      </c>
      <c r="C162" s="0" t="s">
        <v>435</v>
      </c>
      <c r="D162" s="0" t="s">
        <v>774</v>
      </c>
      <c r="E162" s="0" t="s">
        <v>635</v>
      </c>
      <c r="F162" s="0" t="n">
        <v>2</v>
      </c>
      <c r="G162" s="0" t="s">
        <v>553</v>
      </c>
      <c r="H162" s="0" t="s">
        <v>636</v>
      </c>
      <c r="I162" s="6" t="n">
        <f aca="false">VLOOKUP(B162,M:O,3,0)</f>
        <v>0.604166666666667</v>
      </c>
      <c r="J162" s="0" t="str">
        <f aca="false">VLOOKUP(B162,M:P,4,0)</f>
        <v>SCANZOROSCIATE VIA POLCAREZZO 2</v>
      </c>
    </row>
    <row r="163" customFormat="false" ht="12.5" hidden="false" customHeight="false" outlineLevel="0" collapsed="false">
      <c r="A163" s="22" t="n">
        <v>46074</v>
      </c>
      <c r="B163" s="0" t="s">
        <v>811</v>
      </c>
      <c r="C163" s="0" t="s">
        <v>818</v>
      </c>
      <c r="D163" s="0" t="s">
        <v>774</v>
      </c>
      <c r="E163" s="0" t="s">
        <v>635</v>
      </c>
      <c r="F163" s="0" t="n">
        <v>3</v>
      </c>
      <c r="G163" s="0" t="s">
        <v>553</v>
      </c>
      <c r="H163" s="0" t="s">
        <v>636</v>
      </c>
      <c r="I163" s="6" t="n">
        <f aca="false">VLOOKUP(B163,M:O,3,0)</f>
        <v>0.583333333333333</v>
      </c>
      <c r="J163" s="0" t="str">
        <f aca="false">VLOOKUP(B163,M:P,4,0)</f>
        <v>SERIATE VIA PO 25</v>
      </c>
    </row>
    <row r="164" customFormat="false" ht="12.5" hidden="false" customHeight="false" outlineLevel="0" collapsed="false">
      <c r="A164" s="22" t="n">
        <v>46074</v>
      </c>
      <c r="B164" s="0" t="s">
        <v>817</v>
      </c>
      <c r="C164" s="0" t="s">
        <v>559</v>
      </c>
      <c r="D164" s="0" t="s">
        <v>774</v>
      </c>
      <c r="E164" s="0" t="s">
        <v>635</v>
      </c>
      <c r="F164" s="0" t="n">
        <v>3</v>
      </c>
      <c r="G164" s="0" t="s">
        <v>553</v>
      </c>
      <c r="H164" s="0" t="s">
        <v>636</v>
      </c>
      <c r="I164" s="6" t="n">
        <f aca="false">VLOOKUP(B164,M:O,3,0)</f>
        <v>0.625</v>
      </c>
      <c r="J164" s="0" t="str">
        <f aca="false">VLOOKUP(B164,M:P,4,0)</f>
        <v>AZZANO SAN PAOLO VIA STEZZANO 33</v>
      </c>
    </row>
    <row r="165" customFormat="false" ht="12.5" hidden="false" customHeight="false" outlineLevel="0" collapsed="false">
      <c r="A165" s="22" t="n">
        <v>46074</v>
      </c>
      <c r="B165" s="0" t="s">
        <v>316</v>
      </c>
      <c r="C165" s="0" t="s">
        <v>442</v>
      </c>
      <c r="D165" s="0" t="s">
        <v>774</v>
      </c>
      <c r="E165" s="0" t="s">
        <v>635</v>
      </c>
      <c r="F165" s="0" t="n">
        <v>3</v>
      </c>
      <c r="G165" s="0" t="s">
        <v>553</v>
      </c>
      <c r="H165" s="0" t="s">
        <v>636</v>
      </c>
      <c r="I165" s="6" t="n">
        <f aca="false">VLOOKUP(B165,M:O,3,0)</f>
        <v>0.416666666666667</v>
      </c>
      <c r="J165" s="0" t="str">
        <f aca="false">VLOOKUP(B165,M:P,4,0)</f>
        <v>GORLE VIA ROMA 2/A</v>
      </c>
    </row>
    <row r="166" customFormat="false" ht="12.5" hidden="false" customHeight="false" outlineLevel="0" collapsed="false">
      <c r="A166" s="22" t="n">
        <v>46074</v>
      </c>
      <c r="B166" s="0" t="s">
        <v>819</v>
      </c>
      <c r="C166" s="0" t="s">
        <v>435</v>
      </c>
      <c r="D166" s="0" t="s">
        <v>774</v>
      </c>
      <c r="E166" s="0" t="s">
        <v>635</v>
      </c>
      <c r="F166" s="0" t="n">
        <v>3</v>
      </c>
      <c r="G166" s="0" t="s">
        <v>553</v>
      </c>
      <c r="H166" s="0" t="s">
        <v>636</v>
      </c>
      <c r="I166" s="6" t="n">
        <f aca="false">VLOOKUP(B166,M:O,3,0)</f>
        <v>0.40625</v>
      </c>
      <c r="J166" s="0" t="str">
        <f aca="false">VLOOKUP(B166,M:P,4,0)</f>
        <v>MARTINENGO VIA B. COLLEONI 28</v>
      </c>
    </row>
    <row r="167" customFormat="false" ht="12.5" hidden="false" customHeight="false" outlineLevel="0" collapsed="false">
      <c r="A167" s="22" t="n">
        <v>46081</v>
      </c>
      <c r="B167" s="0" t="s">
        <v>442</v>
      </c>
      <c r="C167" s="0" t="s">
        <v>817</v>
      </c>
      <c r="D167" s="0" t="s">
        <v>774</v>
      </c>
      <c r="E167" s="0" t="s">
        <v>635</v>
      </c>
      <c r="F167" s="0" t="n">
        <v>4</v>
      </c>
      <c r="G167" s="0" t="s">
        <v>553</v>
      </c>
      <c r="H167" s="0" t="s">
        <v>636</v>
      </c>
      <c r="I167" s="6" t="n">
        <f aca="false">VLOOKUP(B167,M:O,3,0)</f>
        <v>0.395833333333333</v>
      </c>
      <c r="J167" s="0" t="str">
        <f aca="false">VLOOKUP(B167,M:P,4,0)</f>
        <v>ZANICA VIA COMUN NUOVO 26-28</v>
      </c>
    </row>
    <row r="168" customFormat="false" ht="12.5" hidden="false" customHeight="false" outlineLevel="0" collapsed="false">
      <c r="A168" s="22" t="n">
        <v>46081</v>
      </c>
      <c r="B168" s="0" t="s">
        <v>435</v>
      </c>
      <c r="C168" s="0" t="s">
        <v>811</v>
      </c>
      <c r="D168" s="0" t="s">
        <v>774</v>
      </c>
      <c r="E168" s="0" t="s">
        <v>635</v>
      </c>
      <c r="F168" s="0" t="n">
        <v>4</v>
      </c>
      <c r="G168" s="0" t="s">
        <v>553</v>
      </c>
      <c r="H168" s="0" t="s">
        <v>636</v>
      </c>
      <c r="I168" s="6" t="n">
        <f aca="false">VLOOKUP(B168,M:O,3,0)</f>
        <v>0.416666666666667</v>
      </c>
      <c r="J168" s="0" t="str">
        <f aca="false">VLOOKUP(B168,M:P,4,0)</f>
        <v>BRUSAPORTO VIA BELVEDERE 1</v>
      </c>
    </row>
    <row r="169" customFormat="false" ht="12.5" hidden="false" customHeight="false" outlineLevel="0" collapsed="false">
      <c r="A169" s="22" t="n">
        <v>46081</v>
      </c>
      <c r="B169" s="0" t="s">
        <v>818</v>
      </c>
      <c r="C169" s="0" t="s">
        <v>434</v>
      </c>
      <c r="D169" s="0" t="s">
        <v>774</v>
      </c>
      <c r="E169" s="0" t="s">
        <v>635</v>
      </c>
      <c r="F169" s="0" t="n">
        <v>4</v>
      </c>
      <c r="G169" s="0" t="s">
        <v>553</v>
      </c>
      <c r="H169" s="0" t="s">
        <v>636</v>
      </c>
      <c r="I169" s="6" t="n">
        <f aca="false">VLOOKUP(B169,M:O,3,0)</f>
        <v>0.604166666666667</v>
      </c>
      <c r="J169" s="0" t="str">
        <f aca="false">VLOOKUP(B169,M:P,4,0)</f>
        <v>LALLIO VIA EVARISTO BASCHENIS</v>
      </c>
    </row>
    <row r="170" customFormat="false" ht="12.5" hidden="false" customHeight="false" outlineLevel="0" collapsed="false">
      <c r="A170" s="22" t="n">
        <v>46081</v>
      </c>
      <c r="B170" s="0" t="s">
        <v>559</v>
      </c>
      <c r="C170" s="0" t="s">
        <v>819</v>
      </c>
      <c r="D170" s="0" t="s">
        <v>774</v>
      </c>
      <c r="E170" s="0" t="s">
        <v>635</v>
      </c>
      <c r="F170" s="0" t="n">
        <v>4</v>
      </c>
      <c r="G170" s="0" t="s">
        <v>553</v>
      </c>
      <c r="H170" s="0" t="s">
        <v>636</v>
      </c>
      <c r="I170" s="6" t="n">
        <f aca="false">VLOOKUP(B170,M:O,3,0)</f>
        <v>0.604166666666667</v>
      </c>
      <c r="J170" s="0" t="str">
        <f aca="false">VLOOKUP(B170,M:P,4,0)</f>
        <v>SCANZOROSCIATE VIA POLCAREZZO 2</v>
      </c>
    </row>
    <row r="171" customFormat="false" ht="12.5" hidden="false" customHeight="false" outlineLevel="0" collapsed="false">
      <c r="A171" s="22" t="n">
        <v>46088</v>
      </c>
      <c r="B171" s="0" t="s">
        <v>442</v>
      </c>
      <c r="C171" s="0" t="s">
        <v>559</v>
      </c>
      <c r="D171" s="0" t="s">
        <v>774</v>
      </c>
      <c r="E171" s="0" t="s">
        <v>635</v>
      </c>
      <c r="F171" s="0" t="n">
        <v>5</v>
      </c>
      <c r="G171" s="0" t="s">
        <v>553</v>
      </c>
      <c r="H171" s="0" t="s">
        <v>636</v>
      </c>
      <c r="I171" s="6" t="n">
        <f aca="false">VLOOKUP(B171,M:O,3,0)</f>
        <v>0.395833333333333</v>
      </c>
      <c r="J171" s="0" t="str">
        <f aca="false">VLOOKUP(B171,M:P,4,0)</f>
        <v>ZANICA VIA COMUN NUOVO 26-28</v>
      </c>
    </row>
    <row r="172" customFormat="false" ht="12.5" hidden="false" customHeight="false" outlineLevel="0" collapsed="false">
      <c r="A172" s="22" t="n">
        <v>46088</v>
      </c>
      <c r="B172" s="0" t="s">
        <v>811</v>
      </c>
      <c r="C172" s="0" t="s">
        <v>819</v>
      </c>
      <c r="D172" s="0" t="s">
        <v>774</v>
      </c>
      <c r="E172" s="0" t="s">
        <v>635</v>
      </c>
      <c r="F172" s="0" t="n">
        <v>5</v>
      </c>
      <c r="G172" s="0" t="s">
        <v>553</v>
      </c>
      <c r="H172" s="0" t="s">
        <v>636</v>
      </c>
      <c r="I172" s="6" t="n">
        <f aca="false">VLOOKUP(B172,M:O,3,0)</f>
        <v>0.583333333333333</v>
      </c>
      <c r="J172" s="0" t="str">
        <f aca="false">VLOOKUP(B172,M:P,4,0)</f>
        <v>SERIATE VIA PO 25</v>
      </c>
    </row>
    <row r="173" customFormat="false" ht="12.5" hidden="false" customHeight="false" outlineLevel="0" collapsed="false">
      <c r="A173" s="22" t="n">
        <v>46088</v>
      </c>
      <c r="B173" s="0" t="s">
        <v>316</v>
      </c>
      <c r="C173" s="0" t="s">
        <v>818</v>
      </c>
      <c r="D173" s="0" t="s">
        <v>774</v>
      </c>
      <c r="E173" s="0" t="s">
        <v>635</v>
      </c>
      <c r="F173" s="0" t="n">
        <v>5</v>
      </c>
      <c r="G173" s="0" t="s">
        <v>553</v>
      </c>
      <c r="H173" s="0" t="s">
        <v>636</v>
      </c>
      <c r="I173" s="6" t="n">
        <f aca="false">VLOOKUP(B173,M:O,3,0)</f>
        <v>0.416666666666667</v>
      </c>
      <c r="J173" s="0" t="str">
        <f aca="false">VLOOKUP(B173,M:P,4,0)</f>
        <v>GORLE VIA ROMA 2/A</v>
      </c>
    </row>
    <row r="174" customFormat="false" ht="12.5" hidden="false" customHeight="false" outlineLevel="0" collapsed="false">
      <c r="A174" s="22" t="n">
        <v>46088</v>
      </c>
      <c r="B174" s="0" t="s">
        <v>434</v>
      </c>
      <c r="C174" s="0" t="s">
        <v>435</v>
      </c>
      <c r="D174" s="0" t="s">
        <v>774</v>
      </c>
      <c r="E174" s="0" t="s">
        <v>635</v>
      </c>
      <c r="F174" s="0" t="n">
        <v>5</v>
      </c>
      <c r="G174" s="0" t="s">
        <v>553</v>
      </c>
      <c r="H174" s="0" t="s">
        <v>636</v>
      </c>
      <c r="I174" s="6" t="n">
        <f aca="false">VLOOKUP(B174,M:O,3,0)</f>
        <v>0.416666666666667</v>
      </c>
      <c r="J174" s="0" t="str">
        <f aca="false">VLOOKUP(B174,M:P,4,0)</f>
        <v>CISERANO VIA MAZZINI 13</v>
      </c>
    </row>
    <row r="175" customFormat="false" ht="12.5" hidden="false" customHeight="false" outlineLevel="0" collapsed="false">
      <c r="A175" s="22" t="n">
        <v>46095</v>
      </c>
      <c r="B175" s="0" t="s">
        <v>435</v>
      </c>
      <c r="C175" s="0" t="s">
        <v>316</v>
      </c>
      <c r="D175" s="0" t="s">
        <v>774</v>
      </c>
      <c r="E175" s="0" t="s">
        <v>635</v>
      </c>
      <c r="F175" s="0" t="n">
        <v>6</v>
      </c>
      <c r="G175" s="0" t="s">
        <v>553</v>
      </c>
      <c r="H175" s="0" t="s">
        <v>636</v>
      </c>
      <c r="I175" s="6" t="n">
        <f aca="false">VLOOKUP(B175,M:O,3,0)</f>
        <v>0.416666666666667</v>
      </c>
      <c r="J175" s="0" t="str">
        <f aca="false">VLOOKUP(B175,M:P,4,0)</f>
        <v>BRUSAPORTO VIA BELVEDERE 1</v>
      </c>
    </row>
    <row r="176" customFormat="false" ht="12.5" hidden="false" customHeight="false" outlineLevel="0" collapsed="false">
      <c r="A176" s="22" t="n">
        <v>46095</v>
      </c>
      <c r="B176" s="0" t="s">
        <v>819</v>
      </c>
      <c r="C176" s="0" t="s">
        <v>434</v>
      </c>
      <c r="D176" s="0" t="s">
        <v>774</v>
      </c>
      <c r="E176" s="0" t="s">
        <v>635</v>
      </c>
      <c r="F176" s="0" t="n">
        <v>6</v>
      </c>
      <c r="G176" s="0" t="s">
        <v>553</v>
      </c>
      <c r="H176" s="0" t="s">
        <v>636</v>
      </c>
      <c r="I176" s="6" t="n">
        <f aca="false">VLOOKUP(B176,M:O,3,0)</f>
        <v>0.40625</v>
      </c>
      <c r="J176" s="0" t="str">
        <f aca="false">VLOOKUP(B176,M:P,4,0)</f>
        <v>MARTINENGO VIA B. COLLEONI 28</v>
      </c>
    </row>
    <row r="177" customFormat="false" ht="12.5" hidden="false" customHeight="false" outlineLevel="0" collapsed="false">
      <c r="A177" s="22" t="n">
        <v>46095</v>
      </c>
      <c r="B177" s="0" t="s">
        <v>818</v>
      </c>
      <c r="C177" s="0" t="s">
        <v>817</v>
      </c>
      <c r="D177" s="0" t="s">
        <v>774</v>
      </c>
      <c r="E177" s="0" t="s">
        <v>635</v>
      </c>
      <c r="F177" s="0" t="n">
        <v>6</v>
      </c>
      <c r="G177" s="0" t="s">
        <v>553</v>
      </c>
      <c r="H177" s="0" t="s">
        <v>636</v>
      </c>
      <c r="I177" s="6" t="n">
        <f aca="false">VLOOKUP(B177,M:O,3,0)</f>
        <v>0.604166666666667</v>
      </c>
      <c r="J177" s="0" t="str">
        <f aca="false">VLOOKUP(B177,M:P,4,0)</f>
        <v>LALLIO VIA EVARISTO BASCHENIS</v>
      </c>
    </row>
    <row r="178" customFormat="false" ht="12.5" hidden="false" customHeight="false" outlineLevel="0" collapsed="false">
      <c r="A178" s="22" t="n">
        <v>46095</v>
      </c>
      <c r="B178" s="0" t="s">
        <v>559</v>
      </c>
      <c r="C178" s="0" t="s">
        <v>811</v>
      </c>
      <c r="D178" s="0" t="s">
        <v>774</v>
      </c>
      <c r="E178" s="0" t="s">
        <v>635</v>
      </c>
      <c r="F178" s="0" t="n">
        <v>6</v>
      </c>
      <c r="G178" s="0" t="s">
        <v>553</v>
      </c>
      <c r="H178" s="0" t="s">
        <v>636</v>
      </c>
      <c r="I178" s="6" t="n">
        <f aca="false">VLOOKUP(B178,M:O,3,0)</f>
        <v>0.604166666666667</v>
      </c>
      <c r="J178" s="0" t="str">
        <f aca="false">VLOOKUP(B178,M:P,4,0)</f>
        <v>SCANZOROSCIATE VIA POLCAREZZO 2</v>
      </c>
    </row>
    <row r="179" customFormat="false" ht="12.5" hidden="false" customHeight="false" outlineLevel="0" collapsed="false">
      <c r="A179" s="22" t="n">
        <v>46102</v>
      </c>
      <c r="B179" s="0" t="s">
        <v>442</v>
      </c>
      <c r="C179" s="0" t="s">
        <v>818</v>
      </c>
      <c r="D179" s="0" t="s">
        <v>774</v>
      </c>
      <c r="E179" s="0" t="s">
        <v>635</v>
      </c>
      <c r="F179" s="0" t="n">
        <v>7</v>
      </c>
      <c r="G179" s="0" t="s">
        <v>553</v>
      </c>
      <c r="H179" s="0" t="s">
        <v>636</v>
      </c>
      <c r="I179" s="6" t="n">
        <f aca="false">VLOOKUP(B179,M:O,3,0)</f>
        <v>0.395833333333333</v>
      </c>
      <c r="J179" s="0" t="str">
        <f aca="false">VLOOKUP(B179,M:P,4,0)</f>
        <v>ZANICA VIA COMUN NUOVO 26-28</v>
      </c>
    </row>
    <row r="180" customFormat="false" ht="12.5" hidden="false" customHeight="false" outlineLevel="0" collapsed="false">
      <c r="A180" s="22" t="n">
        <v>46102</v>
      </c>
      <c r="B180" s="0" t="s">
        <v>817</v>
      </c>
      <c r="C180" s="0" t="s">
        <v>435</v>
      </c>
      <c r="D180" s="0" t="s">
        <v>774</v>
      </c>
      <c r="E180" s="0" t="s">
        <v>635</v>
      </c>
      <c r="F180" s="0" t="n">
        <v>7</v>
      </c>
      <c r="G180" s="0" t="s">
        <v>553</v>
      </c>
      <c r="H180" s="0" t="s">
        <v>636</v>
      </c>
      <c r="I180" s="6" t="n">
        <f aca="false">VLOOKUP(B180,M:O,3,0)</f>
        <v>0.625</v>
      </c>
      <c r="J180" s="0" t="str">
        <f aca="false">VLOOKUP(B180,M:P,4,0)</f>
        <v>AZZANO SAN PAOLO VIA STEZZANO 33</v>
      </c>
    </row>
    <row r="181" customFormat="false" ht="12.5" hidden="false" customHeight="false" outlineLevel="0" collapsed="false">
      <c r="A181" s="22" t="n">
        <v>46102</v>
      </c>
      <c r="B181" s="0" t="s">
        <v>316</v>
      </c>
      <c r="C181" s="0" t="s">
        <v>819</v>
      </c>
      <c r="D181" s="0" t="s">
        <v>774</v>
      </c>
      <c r="E181" s="0" t="s">
        <v>635</v>
      </c>
      <c r="F181" s="0" t="n">
        <v>7</v>
      </c>
      <c r="G181" s="0" t="s">
        <v>553</v>
      </c>
      <c r="H181" s="0" t="s">
        <v>636</v>
      </c>
      <c r="I181" s="6" t="n">
        <f aca="false">VLOOKUP(B181,M:O,3,0)</f>
        <v>0.416666666666667</v>
      </c>
      <c r="J181" s="0" t="str">
        <f aca="false">VLOOKUP(B181,M:P,4,0)</f>
        <v>GORLE VIA ROMA 2/A</v>
      </c>
    </row>
    <row r="182" customFormat="false" ht="12.5" hidden="false" customHeight="false" outlineLevel="0" collapsed="false">
      <c r="A182" s="22" t="n">
        <v>46102</v>
      </c>
      <c r="B182" s="0" t="s">
        <v>434</v>
      </c>
      <c r="C182" s="0" t="s">
        <v>811</v>
      </c>
      <c r="D182" s="0" t="s">
        <v>774</v>
      </c>
      <c r="E182" s="0" t="s">
        <v>635</v>
      </c>
      <c r="F182" s="0" t="n">
        <v>7</v>
      </c>
      <c r="G182" s="0" t="s">
        <v>553</v>
      </c>
      <c r="H182" s="0" t="s">
        <v>636</v>
      </c>
      <c r="I182" s="6" t="n">
        <f aca="false">VLOOKUP(B182,M:O,3,0)</f>
        <v>0.416666666666667</v>
      </c>
      <c r="J182" s="0" t="str">
        <f aca="false">VLOOKUP(B182,M:P,4,0)</f>
        <v>CISERANO VIA MAZZINI 13</v>
      </c>
    </row>
    <row r="183" customFormat="false" ht="12.5" hidden="false" customHeight="false" outlineLevel="0" collapsed="false">
      <c r="A183" s="22" t="n">
        <v>46109</v>
      </c>
      <c r="B183" s="0" t="s">
        <v>811</v>
      </c>
      <c r="C183" s="0" t="s">
        <v>316</v>
      </c>
      <c r="D183" s="0" t="s">
        <v>774</v>
      </c>
      <c r="E183" s="0" t="s">
        <v>635</v>
      </c>
      <c r="F183" s="0" t="n">
        <v>8</v>
      </c>
      <c r="G183" s="0" t="s">
        <v>553</v>
      </c>
      <c r="H183" s="0" t="s">
        <v>636</v>
      </c>
      <c r="I183" s="6" t="n">
        <f aca="false">VLOOKUP(B183,M:O,3,0)</f>
        <v>0.583333333333333</v>
      </c>
      <c r="J183" s="0" t="str">
        <f aca="false">VLOOKUP(B183,M:P,4,0)</f>
        <v>SERIATE VIA PO 25</v>
      </c>
    </row>
    <row r="184" customFormat="false" ht="12.5" hidden="false" customHeight="false" outlineLevel="0" collapsed="false">
      <c r="A184" s="22" t="n">
        <v>46109</v>
      </c>
      <c r="B184" s="0" t="s">
        <v>435</v>
      </c>
      <c r="C184" s="0" t="s">
        <v>442</v>
      </c>
      <c r="D184" s="0" t="s">
        <v>774</v>
      </c>
      <c r="E184" s="0" t="s">
        <v>635</v>
      </c>
      <c r="F184" s="0" t="n">
        <v>8</v>
      </c>
      <c r="G184" s="0" t="s">
        <v>553</v>
      </c>
      <c r="H184" s="0" t="s">
        <v>636</v>
      </c>
      <c r="I184" s="6" t="n">
        <f aca="false">VLOOKUP(B184,M:O,3,0)</f>
        <v>0.416666666666667</v>
      </c>
      <c r="J184" s="0" t="str">
        <f aca="false">VLOOKUP(B184,M:P,4,0)</f>
        <v>BRUSAPORTO VIA BELVEDERE 1</v>
      </c>
    </row>
    <row r="185" customFormat="false" ht="12.5" hidden="false" customHeight="false" outlineLevel="0" collapsed="false">
      <c r="A185" s="22" t="n">
        <v>46109</v>
      </c>
      <c r="B185" s="0" t="s">
        <v>819</v>
      </c>
      <c r="C185" s="0" t="s">
        <v>817</v>
      </c>
      <c r="D185" s="0" t="s">
        <v>774</v>
      </c>
      <c r="E185" s="0" t="s">
        <v>635</v>
      </c>
      <c r="F185" s="0" t="n">
        <v>8</v>
      </c>
      <c r="G185" s="0" t="s">
        <v>553</v>
      </c>
      <c r="H185" s="0" t="s">
        <v>636</v>
      </c>
      <c r="I185" s="6" t="n">
        <f aca="false">VLOOKUP(B185,M:O,3,0)</f>
        <v>0.40625</v>
      </c>
      <c r="J185" s="0" t="str">
        <f aca="false">VLOOKUP(B185,M:P,4,0)</f>
        <v>MARTINENGO VIA B. COLLEONI 28</v>
      </c>
    </row>
    <row r="186" customFormat="false" ht="12.5" hidden="false" customHeight="false" outlineLevel="0" collapsed="false">
      <c r="A186" s="22" t="n">
        <v>46109</v>
      </c>
      <c r="B186" s="0" t="s">
        <v>434</v>
      </c>
      <c r="C186" s="0" t="s">
        <v>559</v>
      </c>
      <c r="D186" s="0" t="s">
        <v>774</v>
      </c>
      <c r="E186" s="0" t="s">
        <v>635</v>
      </c>
      <c r="F186" s="0" t="n">
        <v>8</v>
      </c>
      <c r="G186" s="0" t="s">
        <v>553</v>
      </c>
      <c r="H186" s="0" t="s">
        <v>636</v>
      </c>
      <c r="I186" s="6" t="n">
        <f aca="false">VLOOKUP(B186,M:O,3,0)</f>
        <v>0.416666666666667</v>
      </c>
      <c r="J186" s="0" t="str">
        <f aca="false">VLOOKUP(B186,M:P,4,0)</f>
        <v>CISERANO VIA MAZZINI 13</v>
      </c>
    </row>
    <row r="187" customFormat="false" ht="12.5" hidden="false" customHeight="false" outlineLevel="0" collapsed="false">
      <c r="A187" s="22" t="n">
        <v>46123</v>
      </c>
      <c r="B187" s="0" t="s">
        <v>442</v>
      </c>
      <c r="C187" s="0" t="s">
        <v>819</v>
      </c>
      <c r="D187" s="0" t="s">
        <v>774</v>
      </c>
      <c r="E187" s="0" t="s">
        <v>635</v>
      </c>
      <c r="F187" s="0" t="n">
        <v>9</v>
      </c>
      <c r="G187" s="0" t="s">
        <v>553</v>
      </c>
      <c r="H187" s="0" t="s">
        <v>636</v>
      </c>
      <c r="I187" s="6" t="n">
        <f aca="false">VLOOKUP(B187,M:O,3,0)</f>
        <v>0.395833333333333</v>
      </c>
      <c r="J187" s="0" t="str">
        <f aca="false">VLOOKUP(B187,M:P,4,0)</f>
        <v>ZANICA VIA COMUN NUOVO 26-28</v>
      </c>
    </row>
    <row r="188" customFormat="false" ht="12.5" hidden="false" customHeight="false" outlineLevel="0" collapsed="false">
      <c r="A188" s="22" t="n">
        <v>46123</v>
      </c>
      <c r="B188" s="0" t="s">
        <v>817</v>
      </c>
      <c r="C188" s="0" t="s">
        <v>811</v>
      </c>
      <c r="D188" s="0" t="s">
        <v>774</v>
      </c>
      <c r="E188" s="0" t="s">
        <v>635</v>
      </c>
      <c r="F188" s="0" t="n">
        <v>9</v>
      </c>
      <c r="G188" s="0" t="s">
        <v>553</v>
      </c>
      <c r="H188" s="0" t="s">
        <v>636</v>
      </c>
      <c r="I188" s="6" t="n">
        <f aca="false">VLOOKUP(B188,M:O,3,0)</f>
        <v>0.625</v>
      </c>
      <c r="J188" s="0" t="str">
        <f aca="false">VLOOKUP(B188,M:P,4,0)</f>
        <v>AZZANO SAN PAOLO VIA STEZZANO 33</v>
      </c>
    </row>
    <row r="189" customFormat="false" ht="12.5" hidden="false" customHeight="false" outlineLevel="0" collapsed="false">
      <c r="A189" s="22" t="n">
        <v>46123</v>
      </c>
      <c r="B189" s="0" t="s">
        <v>316</v>
      </c>
      <c r="C189" s="0" t="s">
        <v>434</v>
      </c>
      <c r="D189" s="0" t="s">
        <v>774</v>
      </c>
      <c r="E189" s="0" t="s">
        <v>635</v>
      </c>
      <c r="F189" s="0" t="n">
        <v>9</v>
      </c>
      <c r="G189" s="0" t="s">
        <v>553</v>
      </c>
      <c r="H189" s="0" t="s">
        <v>636</v>
      </c>
      <c r="I189" s="6" t="n">
        <f aca="false">VLOOKUP(B189,M:O,3,0)</f>
        <v>0.416666666666667</v>
      </c>
      <c r="J189" s="0" t="str">
        <f aca="false">VLOOKUP(B189,M:P,4,0)</f>
        <v>GORLE VIA ROMA 2/A</v>
      </c>
    </row>
    <row r="190" customFormat="false" ht="12.5" hidden="false" customHeight="false" outlineLevel="0" collapsed="false">
      <c r="A190" s="22" t="n">
        <v>46123</v>
      </c>
      <c r="B190" s="0" t="s">
        <v>559</v>
      </c>
      <c r="C190" s="0" t="s">
        <v>818</v>
      </c>
      <c r="D190" s="0" t="s">
        <v>774</v>
      </c>
      <c r="E190" s="0" t="s">
        <v>635</v>
      </c>
      <c r="F190" s="0" t="n">
        <v>9</v>
      </c>
      <c r="G190" s="0" t="s">
        <v>553</v>
      </c>
      <c r="H190" s="0" t="s">
        <v>315</v>
      </c>
      <c r="I190" s="6" t="n">
        <f aca="false">VLOOKUP(B190,M:O,3,0)</f>
        <v>0.604166666666667</v>
      </c>
      <c r="J190" s="0" t="str">
        <f aca="false">VLOOKUP(B190,M:P,4,0)</f>
        <v>SCANZOROSCIATE VIA POLCAREZZO 2</v>
      </c>
    </row>
    <row r="191" customFormat="false" ht="12.5" hidden="false" customHeight="false" outlineLevel="0" collapsed="false">
      <c r="A191" s="22" t="n">
        <v>46060</v>
      </c>
      <c r="B191" s="0" t="s">
        <v>821</v>
      </c>
      <c r="C191" s="0" t="s">
        <v>832</v>
      </c>
      <c r="D191" s="0" t="s">
        <v>774</v>
      </c>
      <c r="E191" s="0" t="s">
        <v>851</v>
      </c>
      <c r="F191" s="0" t="n">
        <v>1</v>
      </c>
      <c r="G191" s="0" t="s">
        <v>553</v>
      </c>
      <c r="H191" s="0" t="s">
        <v>636</v>
      </c>
      <c r="I191" s="6" t="n">
        <f aca="false">VLOOKUP(B191,M:O,3,0)</f>
        <v>0.416666666666667</v>
      </c>
      <c r="J191" s="0" t="str">
        <f aca="false">VLOOKUP(B191,M:P,4,0)</f>
        <v>BRUSAPORTO VIA BELVEDERE 1</v>
      </c>
    </row>
    <row r="192" customFormat="false" ht="12.5" hidden="false" customHeight="false" outlineLevel="0" collapsed="false">
      <c r="A192" s="22" t="n">
        <v>46060</v>
      </c>
      <c r="B192" s="0" t="s">
        <v>823</v>
      </c>
      <c r="C192" s="0" t="s">
        <v>829</v>
      </c>
      <c r="D192" s="0" t="s">
        <v>774</v>
      </c>
      <c r="E192" s="0" t="s">
        <v>851</v>
      </c>
      <c r="F192" s="0" t="n">
        <v>1</v>
      </c>
      <c r="G192" s="0" t="s">
        <v>553</v>
      </c>
      <c r="H192" s="0" t="s">
        <v>636</v>
      </c>
      <c r="I192" s="6" t="n">
        <f aca="false">VLOOKUP(B192,M:O,3,0)</f>
        <v>0.604166666666667</v>
      </c>
      <c r="J192" s="0" t="str">
        <f aca="false">VLOOKUP(B192,M:P,4,0)</f>
        <v>LALLIO VIA EVARISTO BASCHENIS</v>
      </c>
    </row>
    <row r="193" customFormat="false" ht="12.5" hidden="false" customHeight="false" outlineLevel="0" collapsed="false">
      <c r="A193" s="22" t="n">
        <v>46060</v>
      </c>
      <c r="B193" s="0" t="s">
        <v>824</v>
      </c>
      <c r="C193" s="0" t="s">
        <v>830</v>
      </c>
      <c r="D193" s="0" t="s">
        <v>774</v>
      </c>
      <c r="E193" s="0" t="s">
        <v>851</v>
      </c>
      <c r="F193" s="0" t="n">
        <v>1</v>
      </c>
      <c r="G193" s="0" t="s">
        <v>553</v>
      </c>
      <c r="H193" s="0" t="s">
        <v>636</v>
      </c>
      <c r="I193" s="6" t="n">
        <f aca="false">VLOOKUP(B193,M:O,3,0)</f>
        <v>0.666666666666667</v>
      </c>
      <c r="J193" s="0" t="str">
        <f aca="false">VLOOKUP(B193,M:P,4,0)</f>
        <v>MONTELLO VIA L.ARIOSTO</v>
      </c>
    </row>
    <row r="194" customFormat="false" ht="12.5" hidden="false" customHeight="false" outlineLevel="0" collapsed="false">
      <c r="A194" s="22" t="n">
        <v>46060</v>
      </c>
      <c r="B194" s="0" t="s">
        <v>826</v>
      </c>
      <c r="C194" s="0" t="s">
        <v>715</v>
      </c>
      <c r="D194" s="0" t="s">
        <v>774</v>
      </c>
      <c r="E194" s="0" t="s">
        <v>851</v>
      </c>
      <c r="F194" s="0" t="n">
        <v>1</v>
      </c>
      <c r="G194" s="0" t="s">
        <v>553</v>
      </c>
      <c r="H194" s="0" t="s">
        <v>636</v>
      </c>
      <c r="I194" s="6" t="n">
        <f aca="false">VLOOKUP(B194,M:O,3,0)</f>
        <v>0.604166666666667</v>
      </c>
      <c r="J194" s="0" t="str">
        <f aca="false">VLOOKUP(B194,M:P,4,0)</f>
        <v>CORTENUOVA VIA GAETANO DONIZETTI</v>
      </c>
    </row>
    <row r="195" customFormat="false" ht="12.5" hidden="false" customHeight="false" outlineLevel="0" collapsed="false">
      <c r="A195" s="22" t="n">
        <v>46067</v>
      </c>
      <c r="B195" s="0" t="s">
        <v>715</v>
      </c>
      <c r="C195" s="0" t="s">
        <v>823</v>
      </c>
      <c r="D195" s="0" t="s">
        <v>774</v>
      </c>
      <c r="E195" s="0" t="s">
        <v>851</v>
      </c>
      <c r="F195" s="0" t="n">
        <v>2</v>
      </c>
      <c r="G195" s="0" t="s">
        <v>553</v>
      </c>
      <c r="H195" s="0" t="s">
        <v>636</v>
      </c>
      <c r="I195" s="6" t="n">
        <f aca="false">VLOOKUP(B195,M:O,3,0)</f>
        <v>0.604166666666667</v>
      </c>
      <c r="J195" s="0" t="str">
        <f aca="false">VLOOKUP(B195,M:P,4,0)</f>
        <v>PEDRENGO VIA GIARDINI 12/A</v>
      </c>
    </row>
    <row r="196" customFormat="false" ht="12.5" hidden="false" customHeight="false" outlineLevel="0" collapsed="false">
      <c r="A196" s="22" t="n">
        <v>46067</v>
      </c>
      <c r="B196" s="0" t="s">
        <v>829</v>
      </c>
      <c r="C196" s="0" t="s">
        <v>821</v>
      </c>
      <c r="D196" s="0" t="s">
        <v>774</v>
      </c>
      <c r="E196" s="0" t="s">
        <v>851</v>
      </c>
      <c r="F196" s="0" t="n">
        <v>2</v>
      </c>
      <c r="G196" s="0" t="s">
        <v>553</v>
      </c>
      <c r="H196" s="0" t="s">
        <v>636</v>
      </c>
      <c r="I196" s="6" t="n">
        <f aca="false">VLOOKUP(B196,M:O,3,0)</f>
        <v>0.416666666666667</v>
      </c>
      <c r="J196" s="0" t="str">
        <f aca="false">VLOOKUP(B196,M:P,4,0)</f>
        <v>BERGAMO Q.RE COLOGNOLA VIA S.SISTO 9</v>
      </c>
    </row>
    <row r="197" customFormat="false" ht="12.5" hidden="false" customHeight="false" outlineLevel="0" collapsed="false">
      <c r="A197" s="22" t="n">
        <v>46067</v>
      </c>
      <c r="B197" s="0" t="s">
        <v>830</v>
      </c>
      <c r="C197" s="0" t="s">
        <v>834</v>
      </c>
      <c r="D197" s="0" t="s">
        <v>774</v>
      </c>
      <c r="E197" s="0" t="s">
        <v>851</v>
      </c>
      <c r="F197" s="0" t="n">
        <v>2</v>
      </c>
      <c r="G197" s="0" t="s">
        <v>553</v>
      </c>
      <c r="H197" s="0" t="s">
        <v>636</v>
      </c>
      <c r="I197" s="6" t="n">
        <f aca="false">VLOOKUP(B197,M:O,3,0)</f>
        <v>0.604166666666667</v>
      </c>
      <c r="J197" s="0" t="str">
        <f aca="false">VLOOKUP(B197,M:P,4,0)</f>
        <v>BERGAMO Q.RE MALPENSATA VIA OZANAM 12</v>
      </c>
    </row>
    <row r="198" customFormat="false" ht="12.5" hidden="false" customHeight="false" outlineLevel="0" collapsed="false">
      <c r="A198" s="22" t="n">
        <v>46067</v>
      </c>
      <c r="B198" s="0" t="s">
        <v>832</v>
      </c>
      <c r="C198" s="0" t="s">
        <v>824</v>
      </c>
      <c r="D198" s="0" t="s">
        <v>774</v>
      </c>
      <c r="E198" s="0" t="s">
        <v>851</v>
      </c>
      <c r="F198" s="0" t="n">
        <v>2</v>
      </c>
      <c r="G198" s="0" t="s">
        <v>553</v>
      </c>
      <c r="H198" s="0" t="s">
        <v>636</v>
      </c>
      <c r="I198" s="6" t="n">
        <f aca="false">VLOOKUP(B198,M:O,3,0)</f>
        <v>0.583333333333333</v>
      </c>
      <c r="J198" s="0" t="str">
        <f aca="false">VLOOKUP(B198,M:P,4,0)</f>
        <v>GHISALBA VIA ALDO MORO</v>
      </c>
    </row>
    <row r="199" customFormat="false" ht="12.5" hidden="false" customHeight="false" outlineLevel="0" collapsed="false">
      <c r="A199" s="22" t="n">
        <v>46074</v>
      </c>
      <c r="B199" s="0" t="s">
        <v>834</v>
      </c>
      <c r="C199" s="0" t="s">
        <v>832</v>
      </c>
      <c r="D199" s="0" t="s">
        <v>774</v>
      </c>
      <c r="E199" s="0" t="s">
        <v>851</v>
      </c>
      <c r="F199" s="0" t="n">
        <v>3</v>
      </c>
      <c r="G199" s="0" t="s">
        <v>553</v>
      </c>
      <c r="H199" s="0" t="s">
        <v>636</v>
      </c>
      <c r="I199" s="6" t="n">
        <f aca="false">VLOOKUP(B199,M:O,3,0)</f>
        <v>0.666666666666667</v>
      </c>
      <c r="J199" s="0" t="str">
        <f aca="false">VLOOKUP(B199,M:P,4,0)</f>
        <v>SERIATE VIA PO 25</v>
      </c>
    </row>
    <row r="200" customFormat="false" ht="12.5" hidden="false" customHeight="false" outlineLevel="0" collapsed="false">
      <c r="A200" s="22" t="n">
        <v>46074</v>
      </c>
      <c r="B200" s="0" t="s">
        <v>715</v>
      </c>
      <c r="C200" s="0" t="s">
        <v>829</v>
      </c>
      <c r="D200" s="0" t="s">
        <v>774</v>
      </c>
      <c r="E200" s="0" t="s">
        <v>851</v>
      </c>
      <c r="F200" s="0" t="n">
        <v>3</v>
      </c>
      <c r="G200" s="0" t="s">
        <v>553</v>
      </c>
      <c r="H200" s="0" t="s">
        <v>636</v>
      </c>
      <c r="I200" s="6" t="n">
        <f aca="false">VLOOKUP(B200,M:O,3,0)</f>
        <v>0.604166666666667</v>
      </c>
      <c r="J200" s="0" t="str">
        <f aca="false">VLOOKUP(B200,M:P,4,0)</f>
        <v>PEDRENGO VIA GIARDINI 12/A</v>
      </c>
    </row>
    <row r="201" customFormat="false" ht="12.5" hidden="false" customHeight="false" outlineLevel="0" collapsed="false">
      <c r="A201" s="22" t="n">
        <v>46074</v>
      </c>
      <c r="B201" s="0" t="s">
        <v>824</v>
      </c>
      <c r="C201" s="0" t="s">
        <v>821</v>
      </c>
      <c r="D201" s="0" t="s">
        <v>774</v>
      </c>
      <c r="E201" s="0" t="s">
        <v>851</v>
      </c>
      <c r="F201" s="0" t="n">
        <v>3</v>
      </c>
      <c r="G201" s="0" t="s">
        <v>553</v>
      </c>
      <c r="H201" s="0" t="s">
        <v>636</v>
      </c>
      <c r="I201" s="6" t="n">
        <f aca="false">VLOOKUP(B201,M:O,3,0)</f>
        <v>0.666666666666667</v>
      </c>
      <c r="J201" s="0" t="str">
        <f aca="false">VLOOKUP(B201,M:P,4,0)</f>
        <v>MONTELLO VIA L.ARIOSTO</v>
      </c>
    </row>
    <row r="202" customFormat="false" ht="12.5" hidden="false" customHeight="false" outlineLevel="0" collapsed="false">
      <c r="A202" s="22" t="n">
        <v>46074</v>
      </c>
      <c r="B202" s="0" t="s">
        <v>826</v>
      </c>
      <c r="C202" s="0" t="s">
        <v>830</v>
      </c>
      <c r="D202" s="0" t="s">
        <v>774</v>
      </c>
      <c r="E202" s="0" t="s">
        <v>851</v>
      </c>
      <c r="F202" s="0" t="n">
        <v>3</v>
      </c>
      <c r="G202" s="0" t="s">
        <v>553</v>
      </c>
      <c r="H202" s="0" t="s">
        <v>636</v>
      </c>
      <c r="I202" s="6" t="n">
        <f aca="false">VLOOKUP(B202,M:O,3,0)</f>
        <v>0.604166666666667</v>
      </c>
      <c r="J202" s="0" t="str">
        <f aca="false">VLOOKUP(B202,M:P,4,0)</f>
        <v>CORTENUOVA VIA GAETANO DONIZETTI</v>
      </c>
    </row>
    <row r="203" customFormat="false" ht="12.5" hidden="false" customHeight="false" outlineLevel="0" collapsed="false">
      <c r="A203" s="22" t="n">
        <v>46081</v>
      </c>
      <c r="B203" s="0" t="s">
        <v>821</v>
      </c>
      <c r="C203" s="0" t="s">
        <v>834</v>
      </c>
      <c r="D203" s="0" t="s">
        <v>774</v>
      </c>
      <c r="E203" s="0" t="s">
        <v>851</v>
      </c>
      <c r="F203" s="0" t="n">
        <v>4</v>
      </c>
      <c r="G203" s="0" t="s">
        <v>553</v>
      </c>
      <c r="H203" s="0" t="s">
        <v>636</v>
      </c>
      <c r="I203" s="6" t="n">
        <f aca="false">VLOOKUP(B203,M:O,3,0)</f>
        <v>0.416666666666667</v>
      </c>
      <c r="J203" s="0" t="str">
        <f aca="false">VLOOKUP(B203,M:P,4,0)</f>
        <v>BRUSAPORTO VIA BELVEDERE 1</v>
      </c>
    </row>
    <row r="204" customFormat="false" ht="12.5" hidden="false" customHeight="false" outlineLevel="0" collapsed="false">
      <c r="A204" s="22" t="n">
        <v>46081</v>
      </c>
      <c r="B204" s="0" t="s">
        <v>829</v>
      </c>
      <c r="C204" s="0" t="s">
        <v>824</v>
      </c>
      <c r="D204" s="0" t="s">
        <v>774</v>
      </c>
      <c r="E204" s="0" t="s">
        <v>851</v>
      </c>
      <c r="F204" s="0" t="n">
        <v>4</v>
      </c>
      <c r="G204" s="0" t="s">
        <v>553</v>
      </c>
      <c r="H204" s="0" t="s">
        <v>636</v>
      </c>
      <c r="I204" s="6" t="n">
        <f aca="false">VLOOKUP(B204,M:O,3,0)</f>
        <v>0.416666666666667</v>
      </c>
      <c r="J204" s="0" t="str">
        <f aca="false">VLOOKUP(B204,M:P,4,0)</f>
        <v>BERGAMO Q.RE COLOGNOLA VIA S.SISTO 9</v>
      </c>
    </row>
    <row r="205" customFormat="false" ht="12.5" hidden="false" customHeight="false" outlineLevel="0" collapsed="false">
      <c r="A205" s="22" t="n">
        <v>46081</v>
      </c>
      <c r="B205" s="0" t="s">
        <v>830</v>
      </c>
      <c r="C205" s="0" t="s">
        <v>823</v>
      </c>
      <c r="D205" s="0" t="s">
        <v>774</v>
      </c>
      <c r="E205" s="0" t="s">
        <v>851</v>
      </c>
      <c r="F205" s="0" t="n">
        <v>4</v>
      </c>
      <c r="G205" s="0" t="s">
        <v>553</v>
      </c>
      <c r="H205" s="0" t="s">
        <v>636</v>
      </c>
      <c r="I205" s="6" t="n">
        <f aca="false">VLOOKUP(B205,M:O,3,0)</f>
        <v>0.604166666666667</v>
      </c>
      <c r="J205" s="0" t="str">
        <f aca="false">VLOOKUP(B205,M:P,4,0)</f>
        <v>BERGAMO Q.RE MALPENSATA VIA OZANAM 12</v>
      </c>
    </row>
    <row r="206" customFormat="false" ht="12.5" hidden="false" customHeight="false" outlineLevel="0" collapsed="false">
      <c r="A206" s="22" t="n">
        <v>46081</v>
      </c>
      <c r="B206" s="0" t="s">
        <v>832</v>
      </c>
      <c r="C206" s="0" t="s">
        <v>826</v>
      </c>
      <c r="D206" s="0" t="s">
        <v>774</v>
      </c>
      <c r="E206" s="0" t="s">
        <v>851</v>
      </c>
      <c r="F206" s="0" t="n">
        <v>4</v>
      </c>
      <c r="G206" s="0" t="s">
        <v>553</v>
      </c>
      <c r="H206" s="0" t="s">
        <v>636</v>
      </c>
      <c r="I206" s="6" t="n">
        <f aca="false">VLOOKUP(B206,M:O,3,0)</f>
        <v>0.583333333333333</v>
      </c>
      <c r="J206" s="0" t="str">
        <f aca="false">VLOOKUP(B206,M:P,4,0)</f>
        <v>GHISALBA VIA ALDO MORO</v>
      </c>
    </row>
    <row r="207" customFormat="false" ht="12.5" hidden="false" customHeight="false" outlineLevel="0" collapsed="false">
      <c r="A207" s="22" t="n">
        <v>46088</v>
      </c>
      <c r="B207" s="0" t="s">
        <v>834</v>
      </c>
      <c r="C207" s="0" t="s">
        <v>824</v>
      </c>
      <c r="D207" s="0" t="s">
        <v>774</v>
      </c>
      <c r="E207" s="0" t="s">
        <v>851</v>
      </c>
      <c r="F207" s="0" t="n">
        <v>5</v>
      </c>
      <c r="G207" s="0" t="s">
        <v>553</v>
      </c>
      <c r="H207" s="0" t="s">
        <v>636</v>
      </c>
      <c r="I207" s="6" t="n">
        <f aca="false">VLOOKUP(B207,M:O,3,0)</f>
        <v>0.666666666666667</v>
      </c>
      <c r="J207" s="0" t="str">
        <f aca="false">VLOOKUP(B207,M:P,4,0)</f>
        <v>SERIATE VIA PO 25</v>
      </c>
    </row>
    <row r="208" customFormat="false" ht="12.5" hidden="false" customHeight="false" outlineLevel="0" collapsed="false">
      <c r="A208" s="22" t="n">
        <v>46088</v>
      </c>
      <c r="B208" s="0" t="s">
        <v>715</v>
      </c>
      <c r="C208" s="0" t="s">
        <v>830</v>
      </c>
      <c r="D208" s="0" t="s">
        <v>774</v>
      </c>
      <c r="E208" s="0" t="s">
        <v>851</v>
      </c>
      <c r="F208" s="0" t="n">
        <v>5</v>
      </c>
      <c r="G208" s="0" t="s">
        <v>553</v>
      </c>
      <c r="H208" s="0" t="s">
        <v>636</v>
      </c>
      <c r="I208" s="6" t="n">
        <f aca="false">VLOOKUP(B208,M:O,3,0)</f>
        <v>0.604166666666667</v>
      </c>
      <c r="J208" s="0" t="str">
        <f aca="false">VLOOKUP(B208,M:P,4,0)</f>
        <v>PEDRENGO VIA GIARDINI 12/A</v>
      </c>
    </row>
    <row r="209" customFormat="false" ht="12.5" hidden="false" customHeight="false" outlineLevel="0" collapsed="false">
      <c r="A209" s="22" t="n">
        <v>46088</v>
      </c>
      <c r="B209" s="0" t="s">
        <v>823</v>
      </c>
      <c r="C209" s="0" t="s">
        <v>832</v>
      </c>
      <c r="D209" s="0" t="s">
        <v>774</v>
      </c>
      <c r="E209" s="0" t="s">
        <v>851</v>
      </c>
      <c r="F209" s="0" t="n">
        <v>5</v>
      </c>
      <c r="G209" s="0" t="s">
        <v>553</v>
      </c>
      <c r="H209" s="0" t="s">
        <v>636</v>
      </c>
      <c r="I209" s="6" t="n">
        <f aca="false">VLOOKUP(B209,M:O,3,0)</f>
        <v>0.604166666666667</v>
      </c>
      <c r="J209" s="0" t="str">
        <f aca="false">VLOOKUP(B209,M:P,4,0)</f>
        <v>LALLIO VIA EVARISTO BASCHENIS</v>
      </c>
    </row>
    <row r="210" customFormat="false" ht="12.5" hidden="false" customHeight="false" outlineLevel="0" collapsed="false">
      <c r="A210" s="22" t="n">
        <v>46088</v>
      </c>
      <c r="B210" s="0" t="s">
        <v>826</v>
      </c>
      <c r="C210" s="0" t="s">
        <v>821</v>
      </c>
      <c r="D210" s="0" t="s">
        <v>774</v>
      </c>
      <c r="E210" s="0" t="s">
        <v>851</v>
      </c>
      <c r="F210" s="0" t="n">
        <v>5</v>
      </c>
      <c r="G210" s="0" t="s">
        <v>553</v>
      </c>
      <c r="H210" s="0" t="s">
        <v>636</v>
      </c>
      <c r="I210" s="6" t="n">
        <f aca="false">VLOOKUP(B210,M:O,3,0)</f>
        <v>0.604166666666667</v>
      </c>
      <c r="J210" s="0" t="str">
        <f aca="false">VLOOKUP(B210,M:P,4,0)</f>
        <v>CORTENUOVA VIA GAETANO DONIZETTI</v>
      </c>
    </row>
    <row r="211" customFormat="false" ht="12.5" hidden="false" customHeight="false" outlineLevel="0" collapsed="false">
      <c r="A211" s="22" t="n">
        <v>46095</v>
      </c>
      <c r="B211" s="0" t="s">
        <v>821</v>
      </c>
      <c r="C211" s="0" t="s">
        <v>823</v>
      </c>
      <c r="D211" s="0" t="s">
        <v>774</v>
      </c>
      <c r="E211" s="0" t="s">
        <v>851</v>
      </c>
      <c r="F211" s="0" t="n">
        <v>6</v>
      </c>
      <c r="G211" s="0" t="s">
        <v>553</v>
      </c>
      <c r="H211" s="0" t="s">
        <v>636</v>
      </c>
      <c r="I211" s="6" t="n">
        <f aca="false">VLOOKUP(B211,M:O,3,0)</f>
        <v>0.416666666666667</v>
      </c>
      <c r="J211" s="0" t="str">
        <f aca="false">VLOOKUP(B211,M:P,4,0)</f>
        <v>BRUSAPORTO VIA BELVEDERE 1</v>
      </c>
    </row>
    <row r="212" customFormat="false" ht="12.5" hidden="false" customHeight="false" outlineLevel="0" collapsed="false">
      <c r="A212" s="22" t="n">
        <v>46095</v>
      </c>
      <c r="B212" s="0" t="s">
        <v>829</v>
      </c>
      <c r="C212" s="0" t="s">
        <v>834</v>
      </c>
      <c r="D212" s="0" t="s">
        <v>774</v>
      </c>
      <c r="E212" s="0" t="s">
        <v>851</v>
      </c>
      <c r="F212" s="0" t="n">
        <v>6</v>
      </c>
      <c r="G212" s="0" t="s">
        <v>553</v>
      </c>
      <c r="H212" s="0" t="s">
        <v>636</v>
      </c>
      <c r="I212" s="6" t="n">
        <f aca="false">VLOOKUP(B212,M:O,3,0)</f>
        <v>0.416666666666667</v>
      </c>
      <c r="J212" s="0" t="str">
        <f aca="false">VLOOKUP(B212,M:P,4,0)</f>
        <v>BERGAMO Q.RE COLOGNOLA VIA S.SISTO 9</v>
      </c>
    </row>
    <row r="213" customFormat="false" ht="12.5" hidden="false" customHeight="false" outlineLevel="0" collapsed="false">
      <c r="A213" s="22" t="n">
        <v>46095</v>
      </c>
      <c r="B213" s="0" t="s">
        <v>824</v>
      </c>
      <c r="C213" s="0" t="s">
        <v>826</v>
      </c>
      <c r="D213" s="0" t="s">
        <v>774</v>
      </c>
      <c r="E213" s="0" t="s">
        <v>851</v>
      </c>
      <c r="F213" s="0" t="n">
        <v>6</v>
      </c>
      <c r="G213" s="0" t="s">
        <v>553</v>
      </c>
      <c r="H213" s="0" t="s">
        <v>636</v>
      </c>
      <c r="I213" s="6" t="n">
        <f aca="false">VLOOKUP(B213,M:O,3,0)</f>
        <v>0.666666666666667</v>
      </c>
      <c r="J213" s="0" t="str">
        <f aca="false">VLOOKUP(B213,M:P,4,0)</f>
        <v>MONTELLO VIA L.ARIOSTO</v>
      </c>
    </row>
    <row r="214" customFormat="false" ht="12.5" hidden="false" customHeight="false" outlineLevel="0" collapsed="false">
      <c r="A214" s="22" t="n">
        <v>46095</v>
      </c>
      <c r="B214" s="0" t="s">
        <v>832</v>
      </c>
      <c r="C214" s="0" t="s">
        <v>715</v>
      </c>
      <c r="D214" s="0" t="s">
        <v>774</v>
      </c>
      <c r="E214" s="0" t="s">
        <v>851</v>
      </c>
      <c r="F214" s="0" t="n">
        <v>6</v>
      </c>
      <c r="G214" s="0" t="s">
        <v>553</v>
      </c>
      <c r="H214" s="0" t="s">
        <v>636</v>
      </c>
      <c r="I214" s="6" t="n">
        <f aca="false">VLOOKUP(B214,M:O,3,0)</f>
        <v>0.583333333333333</v>
      </c>
      <c r="J214" s="0" t="str">
        <f aca="false">VLOOKUP(B214,M:P,4,0)</f>
        <v>GHISALBA VIA ALDO MORO</v>
      </c>
    </row>
    <row r="215" customFormat="false" ht="12.5" hidden="false" customHeight="false" outlineLevel="0" collapsed="false">
      <c r="A215" s="22" t="n">
        <v>46102</v>
      </c>
      <c r="B215" s="0" t="s">
        <v>715</v>
      </c>
      <c r="C215" s="0" t="s">
        <v>821</v>
      </c>
      <c r="D215" s="0" t="s">
        <v>774</v>
      </c>
      <c r="E215" s="0" t="s">
        <v>851</v>
      </c>
      <c r="F215" s="0" t="n">
        <v>7</v>
      </c>
      <c r="G215" s="0" t="s">
        <v>553</v>
      </c>
      <c r="H215" s="0" t="s">
        <v>636</v>
      </c>
      <c r="I215" s="6" t="n">
        <f aca="false">VLOOKUP(B215,M:O,3,0)</f>
        <v>0.604166666666667</v>
      </c>
      <c r="J215" s="0" t="str">
        <f aca="false">VLOOKUP(B215,M:P,4,0)</f>
        <v>PEDRENGO VIA GIARDINI 12/A</v>
      </c>
    </row>
    <row r="216" customFormat="false" ht="12.5" hidden="false" customHeight="false" outlineLevel="0" collapsed="false">
      <c r="A216" s="22" t="n">
        <v>46102</v>
      </c>
      <c r="B216" s="0" t="s">
        <v>823</v>
      </c>
      <c r="C216" s="0" t="s">
        <v>824</v>
      </c>
      <c r="D216" s="0" t="s">
        <v>774</v>
      </c>
      <c r="E216" s="0" t="s">
        <v>851</v>
      </c>
      <c r="F216" s="0" t="n">
        <v>7</v>
      </c>
      <c r="G216" s="0" t="s">
        <v>553</v>
      </c>
      <c r="H216" s="0" t="s">
        <v>636</v>
      </c>
      <c r="I216" s="6" t="n">
        <f aca="false">VLOOKUP(B216,M:O,3,0)</f>
        <v>0.604166666666667</v>
      </c>
      <c r="J216" s="0" t="str">
        <f aca="false">VLOOKUP(B216,M:P,4,0)</f>
        <v>LALLIO VIA EVARISTO BASCHENIS</v>
      </c>
    </row>
    <row r="217" customFormat="false" ht="12.5" hidden="false" customHeight="false" outlineLevel="0" collapsed="false">
      <c r="A217" s="22" t="n">
        <v>46102</v>
      </c>
      <c r="B217" s="0" t="s">
        <v>830</v>
      </c>
      <c r="C217" s="0" t="s">
        <v>829</v>
      </c>
      <c r="D217" s="0" t="s">
        <v>774</v>
      </c>
      <c r="E217" s="0" t="s">
        <v>851</v>
      </c>
      <c r="F217" s="0" t="n">
        <v>7</v>
      </c>
      <c r="G217" s="0" t="s">
        <v>553</v>
      </c>
      <c r="H217" s="0" t="s">
        <v>636</v>
      </c>
      <c r="I217" s="6" t="n">
        <f aca="false">VLOOKUP(B217,M:O,3,0)</f>
        <v>0.604166666666667</v>
      </c>
      <c r="J217" s="0" t="str">
        <f aca="false">VLOOKUP(B217,M:P,4,0)</f>
        <v>BERGAMO Q.RE MALPENSATA VIA OZANAM 12</v>
      </c>
    </row>
    <row r="218" customFormat="false" ht="12.5" hidden="false" customHeight="false" outlineLevel="0" collapsed="false">
      <c r="A218" s="22" t="n">
        <v>46102</v>
      </c>
      <c r="B218" s="0" t="s">
        <v>826</v>
      </c>
      <c r="C218" s="0" t="s">
        <v>834</v>
      </c>
      <c r="D218" s="0" t="s">
        <v>774</v>
      </c>
      <c r="E218" s="0" t="s">
        <v>851</v>
      </c>
      <c r="F218" s="0" t="n">
        <v>7</v>
      </c>
      <c r="G218" s="0" t="s">
        <v>553</v>
      </c>
      <c r="H218" s="0" t="s">
        <v>636</v>
      </c>
      <c r="I218" s="6" t="n">
        <f aca="false">VLOOKUP(B218,M:O,3,0)</f>
        <v>0.604166666666667</v>
      </c>
      <c r="J218" s="0" t="str">
        <f aca="false">VLOOKUP(B218,M:P,4,0)</f>
        <v>CORTENUOVA VIA GAETANO DONIZETTI</v>
      </c>
    </row>
    <row r="219" customFormat="false" ht="12.5" hidden="false" customHeight="false" outlineLevel="0" collapsed="false">
      <c r="A219" s="22" t="n">
        <v>46109</v>
      </c>
      <c r="B219" s="0" t="s">
        <v>834</v>
      </c>
      <c r="C219" s="0" t="s">
        <v>823</v>
      </c>
      <c r="D219" s="0" t="s">
        <v>774</v>
      </c>
      <c r="E219" s="0" t="s">
        <v>851</v>
      </c>
      <c r="F219" s="0" t="n">
        <v>8</v>
      </c>
      <c r="G219" s="0" t="s">
        <v>553</v>
      </c>
      <c r="H219" s="0" t="s">
        <v>636</v>
      </c>
      <c r="I219" s="6" t="n">
        <f aca="false">VLOOKUP(B219,M:O,3,0)</f>
        <v>0.666666666666667</v>
      </c>
      <c r="J219" s="0" t="str">
        <f aca="false">VLOOKUP(B219,M:P,4,0)</f>
        <v>SERIATE VIA PO 25</v>
      </c>
    </row>
    <row r="220" customFormat="false" ht="12.5" hidden="false" customHeight="false" outlineLevel="0" collapsed="false">
      <c r="A220" s="22" t="n">
        <v>46109</v>
      </c>
      <c r="B220" s="0" t="s">
        <v>824</v>
      </c>
      <c r="C220" s="0" t="s">
        <v>715</v>
      </c>
      <c r="D220" s="0" t="s">
        <v>774</v>
      </c>
      <c r="E220" s="0" t="s">
        <v>851</v>
      </c>
      <c r="F220" s="0" t="n">
        <v>8</v>
      </c>
      <c r="G220" s="0" t="s">
        <v>553</v>
      </c>
      <c r="H220" s="0" t="s">
        <v>636</v>
      </c>
      <c r="I220" s="6" t="n">
        <f aca="false">VLOOKUP(B220,M:O,3,0)</f>
        <v>0.666666666666667</v>
      </c>
      <c r="J220" s="0" t="str">
        <f aca="false">VLOOKUP(B220,M:P,4,0)</f>
        <v>MONTELLO VIA L.ARIOSTO</v>
      </c>
    </row>
    <row r="221" customFormat="false" ht="12.5" hidden="false" customHeight="false" outlineLevel="0" collapsed="false">
      <c r="A221" s="22" t="n">
        <v>46109</v>
      </c>
      <c r="B221" s="0" t="s">
        <v>826</v>
      </c>
      <c r="C221" s="0" t="s">
        <v>829</v>
      </c>
      <c r="D221" s="0" t="s">
        <v>774</v>
      </c>
      <c r="E221" s="0" t="s">
        <v>851</v>
      </c>
      <c r="F221" s="0" t="n">
        <v>8</v>
      </c>
      <c r="G221" s="0" t="s">
        <v>553</v>
      </c>
      <c r="H221" s="0" t="s">
        <v>636</v>
      </c>
      <c r="I221" s="6" t="n">
        <f aca="false">VLOOKUP(B221,M:O,3,0)</f>
        <v>0.604166666666667</v>
      </c>
      <c r="J221" s="0" t="str">
        <f aca="false">VLOOKUP(B221,M:P,4,0)</f>
        <v>CORTENUOVA VIA GAETANO DONIZETTI</v>
      </c>
    </row>
    <row r="222" customFormat="false" ht="12.5" hidden="false" customHeight="false" outlineLevel="0" collapsed="false">
      <c r="A222" s="22" t="n">
        <v>46109</v>
      </c>
      <c r="B222" s="0" t="s">
        <v>832</v>
      </c>
      <c r="C222" s="0" t="s">
        <v>830</v>
      </c>
      <c r="D222" s="0" t="s">
        <v>774</v>
      </c>
      <c r="E222" s="0" t="s">
        <v>851</v>
      </c>
      <c r="F222" s="0" t="n">
        <v>8</v>
      </c>
      <c r="G222" s="0" t="s">
        <v>553</v>
      </c>
      <c r="H222" s="0" t="s">
        <v>636</v>
      </c>
      <c r="I222" s="6" t="n">
        <f aca="false">VLOOKUP(B222,M:O,3,0)</f>
        <v>0.583333333333333</v>
      </c>
      <c r="J222" s="0" t="str">
        <f aca="false">VLOOKUP(B222,M:P,4,0)</f>
        <v>GHISALBA VIA ALDO MORO</v>
      </c>
    </row>
    <row r="223" customFormat="false" ht="12.5" hidden="false" customHeight="false" outlineLevel="0" collapsed="false">
      <c r="A223" s="22" t="n">
        <v>46123</v>
      </c>
      <c r="B223" s="0" t="s">
        <v>715</v>
      </c>
      <c r="C223" s="0" t="s">
        <v>834</v>
      </c>
      <c r="D223" s="0" t="s">
        <v>774</v>
      </c>
      <c r="E223" s="0" t="s">
        <v>851</v>
      </c>
      <c r="F223" s="0" t="n">
        <v>9</v>
      </c>
      <c r="G223" s="0" t="s">
        <v>553</v>
      </c>
      <c r="H223" s="0" t="s">
        <v>636</v>
      </c>
      <c r="I223" s="6" t="n">
        <f aca="false">VLOOKUP(B223,M:O,3,0)</f>
        <v>0.604166666666667</v>
      </c>
      <c r="J223" s="0" t="str">
        <f aca="false">VLOOKUP(B223,M:P,4,0)</f>
        <v>PEDRENGO VIA GIARDINI 12/A</v>
      </c>
    </row>
    <row r="224" customFormat="false" ht="12.5" hidden="false" customHeight="false" outlineLevel="0" collapsed="false">
      <c r="A224" s="22" t="n">
        <v>46123</v>
      </c>
      <c r="B224" s="0" t="s">
        <v>829</v>
      </c>
      <c r="C224" s="0" t="s">
        <v>832</v>
      </c>
      <c r="D224" s="0" t="s">
        <v>774</v>
      </c>
      <c r="E224" s="0" t="s">
        <v>851</v>
      </c>
      <c r="F224" s="0" t="n">
        <v>9</v>
      </c>
      <c r="G224" s="0" t="s">
        <v>553</v>
      </c>
      <c r="H224" s="0" t="s">
        <v>636</v>
      </c>
      <c r="I224" s="6" t="n">
        <f aca="false">VLOOKUP(B224,M:O,3,0)</f>
        <v>0.416666666666667</v>
      </c>
      <c r="J224" s="0" t="str">
        <f aca="false">VLOOKUP(B224,M:P,4,0)</f>
        <v>BERGAMO Q.RE COLOGNOLA VIA S.SISTO 9</v>
      </c>
    </row>
    <row r="225" customFormat="false" ht="12.5" hidden="false" customHeight="false" outlineLevel="0" collapsed="false">
      <c r="A225" s="22" t="n">
        <v>46123</v>
      </c>
      <c r="B225" s="0" t="s">
        <v>823</v>
      </c>
      <c r="C225" s="0" t="s">
        <v>826</v>
      </c>
      <c r="D225" s="0" t="s">
        <v>774</v>
      </c>
      <c r="E225" s="0" t="s">
        <v>851</v>
      </c>
      <c r="F225" s="0" t="n">
        <v>9</v>
      </c>
      <c r="G225" s="0" t="s">
        <v>553</v>
      </c>
      <c r="H225" s="0" t="s">
        <v>636</v>
      </c>
      <c r="I225" s="6" t="n">
        <f aca="false">VLOOKUP(B225,M:O,3,0)</f>
        <v>0.604166666666667</v>
      </c>
      <c r="J225" s="0" t="str">
        <f aca="false">VLOOKUP(B225,M:P,4,0)</f>
        <v>LALLIO VIA EVARISTO BASCHENIS</v>
      </c>
    </row>
    <row r="226" customFormat="false" ht="12.5" hidden="false" customHeight="false" outlineLevel="0" collapsed="false">
      <c r="A226" s="22" t="n">
        <v>46123</v>
      </c>
      <c r="B226" s="0" t="s">
        <v>830</v>
      </c>
      <c r="C226" s="0" t="s">
        <v>821</v>
      </c>
      <c r="D226" s="0" t="s">
        <v>774</v>
      </c>
      <c r="E226" s="0" t="s">
        <v>851</v>
      </c>
      <c r="F226" s="0" t="n">
        <v>9</v>
      </c>
      <c r="G226" s="0" t="s">
        <v>553</v>
      </c>
      <c r="H226" s="0" t="s">
        <v>315</v>
      </c>
      <c r="I226" s="6" t="n">
        <f aca="false">VLOOKUP(B226,M:O,3,0)</f>
        <v>0.604166666666667</v>
      </c>
      <c r="J226" s="0" t="str">
        <f aca="false">VLOOKUP(B226,M:P,4,0)</f>
        <v>BERGAMO Q.RE MALPENSATA VIA OZANAM 12</v>
      </c>
    </row>
    <row r="227" customFormat="false" ht="12.5" hidden="false" customHeight="false" outlineLevel="0" collapsed="false">
      <c r="A227" s="22" t="n">
        <v>46060</v>
      </c>
      <c r="B227" s="0" t="s">
        <v>835</v>
      </c>
      <c r="C227" s="0" t="s">
        <v>843</v>
      </c>
      <c r="D227" s="0" t="s">
        <v>774</v>
      </c>
      <c r="E227" s="0" t="s">
        <v>852</v>
      </c>
      <c r="F227" s="0" t="n">
        <v>1</v>
      </c>
      <c r="G227" s="0" t="s">
        <v>553</v>
      </c>
      <c r="H227" s="0" t="s">
        <v>636</v>
      </c>
      <c r="I227" s="6" t="n">
        <f aca="false">VLOOKUP(B227,M:O,3,0)</f>
        <v>0.458333333333333</v>
      </c>
      <c r="J227" s="0" t="str">
        <f aca="false">VLOOKUP(B227,M:P,4,0)</f>
        <v>CAROBBIO DEGLI ANGELI VIA GAETANO DONIZETTI 12</v>
      </c>
    </row>
    <row r="228" customFormat="false" ht="12.5" hidden="false" customHeight="false" outlineLevel="0" collapsed="false">
      <c r="A228" s="22" t="n">
        <v>46060</v>
      </c>
      <c r="B228" s="0" t="s">
        <v>321</v>
      </c>
      <c r="C228" s="0" t="s">
        <v>320</v>
      </c>
      <c r="D228" s="0" t="s">
        <v>774</v>
      </c>
      <c r="E228" s="0" t="s">
        <v>852</v>
      </c>
      <c r="F228" s="0" t="n">
        <v>1</v>
      </c>
      <c r="G228" s="0" t="s">
        <v>553</v>
      </c>
      <c r="H228" s="0" t="s">
        <v>636</v>
      </c>
      <c r="I228" s="6" t="n">
        <f aca="false">VLOOKUP(B228,M:O,3,0)</f>
        <v>0.416666666666667</v>
      </c>
      <c r="J228" s="0" t="str">
        <f aca="false">VLOOKUP(B228,M:P,4,0)</f>
        <v>TORRE BOLDONE VIALE LOMBARDIA 44</v>
      </c>
    </row>
    <row r="229" customFormat="false" ht="12.5" hidden="false" customHeight="false" outlineLevel="0" collapsed="false">
      <c r="A229" s="22" t="n">
        <v>46060</v>
      </c>
      <c r="B229" s="0" t="s">
        <v>838</v>
      </c>
      <c r="C229" s="0" t="s">
        <v>845</v>
      </c>
      <c r="D229" s="0" t="s">
        <v>774</v>
      </c>
      <c r="E229" s="0" t="s">
        <v>852</v>
      </c>
      <c r="F229" s="0" t="n">
        <v>1</v>
      </c>
      <c r="G229" s="0" t="s">
        <v>553</v>
      </c>
      <c r="H229" s="0" t="s">
        <v>636</v>
      </c>
      <c r="I229" s="6" t="n">
        <f aca="false">VLOOKUP(B229,M:O,3,0)</f>
        <v>0.583333333333333</v>
      </c>
      <c r="J229" s="0" t="str">
        <f aca="false">VLOOKUP(B229,M:P,4,0)</f>
        <v>ZANICA VIA ROMA 38</v>
      </c>
    </row>
    <row r="230" customFormat="false" ht="12.5" hidden="false" customHeight="false" outlineLevel="0" collapsed="false">
      <c r="A230" s="22" t="n">
        <v>46060</v>
      </c>
      <c r="B230" s="0" t="s">
        <v>840</v>
      </c>
      <c r="C230" s="0" t="s">
        <v>842</v>
      </c>
      <c r="D230" s="0" t="s">
        <v>774</v>
      </c>
      <c r="E230" s="0" t="s">
        <v>852</v>
      </c>
      <c r="F230" s="0" t="n">
        <v>1</v>
      </c>
      <c r="G230" s="0" t="s">
        <v>553</v>
      </c>
      <c r="H230" s="0" t="s">
        <v>636</v>
      </c>
      <c r="I230" s="6" t="n">
        <f aca="false">VLOOKUP(B230,M:O,3,0)</f>
        <v>0.65625</v>
      </c>
      <c r="J230" s="0" t="str">
        <f aca="false">VLOOKUP(B230,M:P,4,0)</f>
        <v>CASTRO VIA MATTEOTTI 39</v>
      </c>
    </row>
    <row r="231" customFormat="false" ht="12.5" hidden="false" customHeight="false" outlineLevel="0" collapsed="false">
      <c r="A231" s="22" t="n">
        <v>46067</v>
      </c>
      <c r="B231" s="0" t="s">
        <v>842</v>
      </c>
      <c r="C231" s="0" t="s">
        <v>838</v>
      </c>
      <c r="D231" s="0" t="s">
        <v>774</v>
      </c>
      <c r="E231" s="0" t="s">
        <v>852</v>
      </c>
      <c r="F231" s="0" t="n">
        <v>2</v>
      </c>
      <c r="G231" s="0" t="s">
        <v>553</v>
      </c>
      <c r="H231" s="0" t="s">
        <v>636</v>
      </c>
      <c r="I231" s="6" t="n">
        <f aca="false">VLOOKUP(B231,M:O,3,0)</f>
        <v>0.6875</v>
      </c>
      <c r="J231" s="0" t="str">
        <f aca="false">VLOOKUP(B231,M:P,4,0)</f>
        <v>AZZANO SAN PAOLO VIA STEZZANO 33</v>
      </c>
    </row>
    <row r="232" customFormat="false" ht="12.5" hidden="false" customHeight="false" outlineLevel="0" collapsed="false">
      <c r="A232" s="22" t="n">
        <v>46067</v>
      </c>
      <c r="B232" s="0" t="s">
        <v>843</v>
      </c>
      <c r="C232" s="0" t="s">
        <v>840</v>
      </c>
      <c r="D232" s="0" t="s">
        <v>774</v>
      </c>
      <c r="E232" s="0" t="s">
        <v>852</v>
      </c>
      <c r="F232" s="0" t="n">
        <v>2</v>
      </c>
      <c r="G232" s="0" t="s">
        <v>553</v>
      </c>
      <c r="H232" s="0" t="s">
        <v>636</v>
      </c>
      <c r="I232" s="6" t="n">
        <f aca="false">VLOOKUP(B232,M:O,3,0)</f>
        <v>0.59375</v>
      </c>
      <c r="J232" s="0" t="str">
        <f aca="false">VLOOKUP(B232,M:P,4,0)</f>
        <v>CAVERNAGO VIA UNGARETTI 66</v>
      </c>
    </row>
    <row r="233" customFormat="false" ht="12.5" hidden="false" customHeight="false" outlineLevel="0" collapsed="false">
      <c r="A233" s="22" t="n">
        <v>46068</v>
      </c>
      <c r="B233" s="0" t="s">
        <v>845</v>
      </c>
      <c r="C233" s="0" t="s">
        <v>321</v>
      </c>
      <c r="D233" s="0" t="s">
        <v>774</v>
      </c>
      <c r="E233" s="0" t="s">
        <v>852</v>
      </c>
      <c r="F233" s="0" t="n">
        <v>2</v>
      </c>
      <c r="G233" s="0" t="s">
        <v>553</v>
      </c>
      <c r="H233" s="0" t="s">
        <v>636</v>
      </c>
      <c r="I233" s="6" t="n">
        <f aca="false">VLOOKUP(B233,M:O,3,0)</f>
        <v>0.416666666666667</v>
      </c>
      <c r="J233" s="0" t="str">
        <f aca="false">VLOOKUP(B233,M:P,4,0)</f>
        <v>SOVERE VIA CANNETO 4</v>
      </c>
    </row>
    <row r="234" customFormat="false" ht="12.5" hidden="false" customHeight="false" outlineLevel="0" collapsed="false">
      <c r="A234" s="22" t="n">
        <v>46067</v>
      </c>
      <c r="B234" s="0" t="s">
        <v>320</v>
      </c>
      <c r="C234" s="0" t="s">
        <v>848</v>
      </c>
      <c r="D234" s="0" t="s">
        <v>774</v>
      </c>
      <c r="E234" s="0" t="s">
        <v>852</v>
      </c>
      <c r="F234" s="0" t="n">
        <v>2</v>
      </c>
      <c r="G234" s="0" t="s">
        <v>553</v>
      </c>
      <c r="H234" s="0" t="s">
        <v>636</v>
      </c>
      <c r="I234" s="6" t="n">
        <f aca="false">VLOOKUP(B234,M:O,3,0)</f>
        <v>0.604166666666667</v>
      </c>
      <c r="J234" s="0" t="str">
        <f aca="false">VLOOKUP(B234,M:P,4,0)</f>
        <v>RANICA PIAZZA L. BERTETT SNC</v>
      </c>
    </row>
    <row r="235" customFormat="false" ht="12.5" hidden="false" customHeight="false" outlineLevel="0" collapsed="false">
      <c r="A235" s="22" t="n">
        <v>46074</v>
      </c>
      <c r="B235" s="0" t="s">
        <v>835</v>
      </c>
      <c r="C235" s="0" t="s">
        <v>848</v>
      </c>
      <c r="D235" s="0" t="s">
        <v>774</v>
      </c>
      <c r="E235" s="0" t="s">
        <v>852</v>
      </c>
      <c r="F235" s="0" t="n">
        <v>3</v>
      </c>
      <c r="G235" s="0" t="s">
        <v>553</v>
      </c>
      <c r="H235" s="0" t="s">
        <v>636</v>
      </c>
      <c r="I235" s="6" t="n">
        <f aca="false">VLOOKUP(B235,M:O,3,0)</f>
        <v>0.458333333333333</v>
      </c>
      <c r="J235" s="0" t="str">
        <f aca="false">VLOOKUP(B235,M:P,4,0)</f>
        <v>CAROBBIO DEGLI ANGELI VIA GAETANO DONIZETTI 12</v>
      </c>
    </row>
    <row r="236" customFormat="false" ht="12.5" hidden="false" customHeight="false" outlineLevel="0" collapsed="false">
      <c r="A236" s="22" t="n">
        <v>46074</v>
      </c>
      <c r="B236" s="0" t="s">
        <v>321</v>
      </c>
      <c r="C236" s="0" t="s">
        <v>842</v>
      </c>
      <c r="D236" s="0" t="s">
        <v>774</v>
      </c>
      <c r="E236" s="0" t="s">
        <v>852</v>
      </c>
      <c r="F236" s="0" t="n">
        <v>3</v>
      </c>
      <c r="G236" s="0" t="s">
        <v>553</v>
      </c>
      <c r="H236" s="0" t="s">
        <v>636</v>
      </c>
      <c r="I236" s="6" t="n">
        <f aca="false">VLOOKUP(B236,M:O,3,0)</f>
        <v>0.416666666666667</v>
      </c>
      <c r="J236" s="0" t="str">
        <f aca="false">VLOOKUP(B236,M:P,4,0)</f>
        <v>TORRE BOLDONE VIALE LOMBARDIA 44</v>
      </c>
    </row>
    <row r="237" customFormat="false" ht="12.5" hidden="false" customHeight="false" outlineLevel="0" collapsed="false">
      <c r="A237" s="22" t="n">
        <v>46075</v>
      </c>
      <c r="B237" s="0" t="s">
        <v>845</v>
      </c>
      <c r="C237" s="0" t="s">
        <v>320</v>
      </c>
      <c r="D237" s="0" t="s">
        <v>774</v>
      </c>
      <c r="E237" s="0" t="s">
        <v>852</v>
      </c>
      <c r="F237" s="0" t="n">
        <v>3</v>
      </c>
      <c r="G237" s="0" t="s">
        <v>553</v>
      </c>
      <c r="H237" s="0" t="s">
        <v>636</v>
      </c>
      <c r="I237" s="6" t="n">
        <f aca="false">VLOOKUP(B237,M:O,3,0)</f>
        <v>0.416666666666667</v>
      </c>
      <c r="J237" s="0" t="str">
        <f aca="false">VLOOKUP(B237,M:P,4,0)</f>
        <v>SOVERE VIA CANNETO 4</v>
      </c>
    </row>
    <row r="238" customFormat="false" ht="12.5" hidden="false" customHeight="false" outlineLevel="0" collapsed="false">
      <c r="A238" s="22" t="n">
        <v>46074</v>
      </c>
      <c r="B238" s="0" t="s">
        <v>838</v>
      </c>
      <c r="C238" s="0" t="s">
        <v>843</v>
      </c>
      <c r="D238" s="0" t="s">
        <v>774</v>
      </c>
      <c r="E238" s="0" t="s">
        <v>852</v>
      </c>
      <c r="F238" s="0" t="n">
        <v>3</v>
      </c>
      <c r="G238" s="0" t="s">
        <v>553</v>
      </c>
      <c r="H238" s="0" t="s">
        <v>636</v>
      </c>
      <c r="I238" s="6" t="n">
        <f aca="false">VLOOKUP(B238,M:O,3,0)</f>
        <v>0.583333333333333</v>
      </c>
      <c r="J238" s="0" t="str">
        <f aca="false">VLOOKUP(B238,M:P,4,0)</f>
        <v>ZANICA VIA ROMA 38</v>
      </c>
    </row>
    <row r="239" customFormat="false" ht="12.5" hidden="false" customHeight="false" outlineLevel="0" collapsed="false">
      <c r="A239" s="22" t="n">
        <v>46081</v>
      </c>
      <c r="B239" s="0" t="s">
        <v>842</v>
      </c>
      <c r="C239" s="0" t="s">
        <v>845</v>
      </c>
      <c r="D239" s="0" t="s">
        <v>774</v>
      </c>
      <c r="E239" s="0" t="s">
        <v>852</v>
      </c>
      <c r="F239" s="0" t="n">
        <v>4</v>
      </c>
      <c r="G239" s="0" t="s">
        <v>553</v>
      </c>
      <c r="H239" s="0" t="s">
        <v>636</v>
      </c>
      <c r="I239" s="6" t="n">
        <f aca="false">VLOOKUP(B239,M:O,3,0)</f>
        <v>0.6875</v>
      </c>
      <c r="J239" s="0" t="str">
        <f aca="false">VLOOKUP(B239,M:P,4,0)</f>
        <v>AZZANO SAN PAOLO VIA STEZZANO 33</v>
      </c>
    </row>
    <row r="240" customFormat="false" ht="12.5" hidden="false" customHeight="false" outlineLevel="0" collapsed="false">
      <c r="A240" s="22" t="n">
        <v>46081</v>
      </c>
      <c r="B240" s="0" t="s">
        <v>843</v>
      </c>
      <c r="C240" s="0" t="s">
        <v>321</v>
      </c>
      <c r="D240" s="0" t="s">
        <v>774</v>
      </c>
      <c r="E240" s="0" t="s">
        <v>852</v>
      </c>
      <c r="F240" s="0" t="n">
        <v>4</v>
      </c>
      <c r="G240" s="0" t="s">
        <v>553</v>
      </c>
      <c r="H240" s="0" t="s">
        <v>636</v>
      </c>
      <c r="I240" s="6" t="n">
        <f aca="false">VLOOKUP(B240,M:O,3,0)</f>
        <v>0.59375</v>
      </c>
      <c r="J240" s="0" t="str">
        <f aca="false">VLOOKUP(B240,M:P,4,0)</f>
        <v>CAVERNAGO VIA UNGARETTI 66</v>
      </c>
    </row>
    <row r="241" customFormat="false" ht="12.5" hidden="false" customHeight="false" outlineLevel="0" collapsed="false">
      <c r="A241" s="22" t="n">
        <v>46081</v>
      </c>
      <c r="B241" s="0" t="s">
        <v>320</v>
      </c>
      <c r="C241" s="0" t="s">
        <v>835</v>
      </c>
      <c r="D241" s="0" t="s">
        <v>774</v>
      </c>
      <c r="E241" s="0" t="s">
        <v>852</v>
      </c>
      <c r="F241" s="0" t="n">
        <v>4</v>
      </c>
      <c r="G241" s="0" t="s">
        <v>553</v>
      </c>
      <c r="H241" s="0" t="s">
        <v>636</v>
      </c>
      <c r="I241" s="6" t="n">
        <f aca="false">VLOOKUP(B241,M:O,3,0)</f>
        <v>0.604166666666667</v>
      </c>
      <c r="J241" s="0" t="str">
        <f aca="false">VLOOKUP(B241,M:P,4,0)</f>
        <v>RANICA PIAZZA L. BERTETT SNC</v>
      </c>
    </row>
    <row r="242" customFormat="false" ht="12.5" hidden="false" customHeight="false" outlineLevel="0" collapsed="false">
      <c r="A242" s="22" t="n">
        <v>46081</v>
      </c>
      <c r="B242" s="0" t="s">
        <v>848</v>
      </c>
      <c r="C242" s="0" t="s">
        <v>840</v>
      </c>
      <c r="D242" s="0" t="s">
        <v>774</v>
      </c>
      <c r="E242" s="0" t="s">
        <v>852</v>
      </c>
      <c r="F242" s="0" t="n">
        <v>4</v>
      </c>
      <c r="G242" s="0" t="s">
        <v>553</v>
      </c>
      <c r="H242" s="0" t="s">
        <v>636</v>
      </c>
      <c r="I242" s="6" t="n">
        <f aca="false">VLOOKUP(B242,M:O,3,0)</f>
        <v>0.604166666666667</v>
      </c>
      <c r="J242" s="0" t="str">
        <f aca="false">VLOOKUP(B242,M:P,4,0)</f>
        <v>CASAZZA PIAZZA PIEVE 4</v>
      </c>
    </row>
    <row r="243" customFormat="false" ht="12.5" hidden="false" customHeight="false" outlineLevel="0" collapsed="false">
      <c r="A243" s="22" t="n">
        <v>46088</v>
      </c>
      <c r="B243" s="0" t="s">
        <v>842</v>
      </c>
      <c r="C243" s="0" t="s">
        <v>320</v>
      </c>
      <c r="D243" s="0" t="s">
        <v>774</v>
      </c>
      <c r="E243" s="0" t="s">
        <v>852</v>
      </c>
      <c r="F243" s="0" t="n">
        <v>5</v>
      </c>
      <c r="G243" s="0" t="s">
        <v>553</v>
      </c>
      <c r="H243" s="0" t="s">
        <v>636</v>
      </c>
      <c r="I243" s="6" t="n">
        <f aca="false">VLOOKUP(B243,M:O,3,0)</f>
        <v>0.6875</v>
      </c>
      <c r="J243" s="0" t="str">
        <f aca="false">VLOOKUP(B243,M:P,4,0)</f>
        <v>AZZANO SAN PAOLO VIA STEZZANO 33</v>
      </c>
    </row>
    <row r="244" customFormat="false" ht="12.5" hidden="false" customHeight="false" outlineLevel="0" collapsed="false">
      <c r="A244" s="22" t="n">
        <v>46089</v>
      </c>
      <c r="B244" s="0" t="s">
        <v>845</v>
      </c>
      <c r="C244" s="0" t="s">
        <v>843</v>
      </c>
      <c r="D244" s="0" t="s">
        <v>774</v>
      </c>
      <c r="E244" s="0" t="s">
        <v>852</v>
      </c>
      <c r="F244" s="0" t="n">
        <v>5</v>
      </c>
      <c r="G244" s="0" t="s">
        <v>553</v>
      </c>
      <c r="H244" s="0" t="s">
        <v>636</v>
      </c>
      <c r="I244" s="6" t="n">
        <f aca="false">VLOOKUP(B244,M:O,3,0)</f>
        <v>0.416666666666667</v>
      </c>
      <c r="J244" s="0" t="str">
        <f aca="false">VLOOKUP(B244,M:P,4,0)</f>
        <v>SOVERE VIA CANNETO 4</v>
      </c>
    </row>
    <row r="245" customFormat="false" ht="12.5" hidden="false" customHeight="false" outlineLevel="0" collapsed="false">
      <c r="A245" s="22" t="n">
        <v>46088</v>
      </c>
      <c r="B245" s="0" t="s">
        <v>838</v>
      </c>
      <c r="C245" s="0" t="s">
        <v>848</v>
      </c>
      <c r="D245" s="0" t="s">
        <v>774</v>
      </c>
      <c r="E245" s="0" t="s">
        <v>852</v>
      </c>
      <c r="F245" s="0" t="n">
        <v>5</v>
      </c>
      <c r="G245" s="0" t="s">
        <v>553</v>
      </c>
      <c r="H245" s="0" t="s">
        <v>636</v>
      </c>
      <c r="I245" s="6" t="n">
        <f aca="false">VLOOKUP(B245,M:O,3,0)</f>
        <v>0.583333333333333</v>
      </c>
      <c r="J245" s="0" t="str">
        <f aca="false">VLOOKUP(B245,M:P,4,0)</f>
        <v>ZANICA VIA ROMA 38</v>
      </c>
    </row>
    <row r="246" customFormat="false" ht="12.5" hidden="false" customHeight="false" outlineLevel="0" collapsed="false">
      <c r="A246" s="22" t="n">
        <v>46088</v>
      </c>
      <c r="B246" s="0" t="s">
        <v>840</v>
      </c>
      <c r="C246" s="0" t="s">
        <v>835</v>
      </c>
      <c r="D246" s="0" t="s">
        <v>774</v>
      </c>
      <c r="E246" s="0" t="s">
        <v>852</v>
      </c>
      <c r="F246" s="0" t="n">
        <v>5</v>
      </c>
      <c r="G246" s="0" t="s">
        <v>553</v>
      </c>
      <c r="H246" s="0" t="s">
        <v>636</v>
      </c>
      <c r="I246" s="6" t="n">
        <f aca="false">VLOOKUP(B246,M:O,3,0)</f>
        <v>0.65625</v>
      </c>
      <c r="J246" s="0" t="str">
        <f aca="false">VLOOKUP(B246,M:P,4,0)</f>
        <v>CASTRO VIA MATTEOTTI 39</v>
      </c>
    </row>
    <row r="247" customFormat="false" ht="12.5" hidden="false" customHeight="false" outlineLevel="0" collapsed="false">
      <c r="A247" s="22" t="n">
        <v>46095</v>
      </c>
      <c r="B247" s="0" t="s">
        <v>835</v>
      </c>
      <c r="C247" s="0" t="s">
        <v>838</v>
      </c>
      <c r="D247" s="0" t="s">
        <v>774</v>
      </c>
      <c r="E247" s="0" t="s">
        <v>852</v>
      </c>
      <c r="F247" s="0" t="n">
        <v>6</v>
      </c>
      <c r="G247" s="0" t="s">
        <v>553</v>
      </c>
      <c r="H247" s="0" t="s">
        <v>636</v>
      </c>
      <c r="I247" s="6" t="n">
        <f aca="false">VLOOKUP(B247,M:O,3,0)</f>
        <v>0.458333333333333</v>
      </c>
      <c r="J247" s="0" t="str">
        <f aca="false">VLOOKUP(B247,M:P,4,0)</f>
        <v>CAROBBIO DEGLI ANGELI VIA GAETANO DONIZETTI 12</v>
      </c>
    </row>
    <row r="248" customFormat="false" ht="12.5" hidden="false" customHeight="false" outlineLevel="0" collapsed="false">
      <c r="A248" s="22" t="n">
        <v>46095</v>
      </c>
      <c r="B248" s="0" t="s">
        <v>843</v>
      </c>
      <c r="C248" s="0" t="s">
        <v>842</v>
      </c>
      <c r="D248" s="0" t="s">
        <v>774</v>
      </c>
      <c r="E248" s="0" t="s">
        <v>852</v>
      </c>
      <c r="F248" s="0" t="n">
        <v>6</v>
      </c>
      <c r="G248" s="0" t="s">
        <v>553</v>
      </c>
      <c r="H248" s="0" t="s">
        <v>636</v>
      </c>
      <c r="I248" s="6" t="n">
        <f aca="false">VLOOKUP(B248,M:O,3,0)</f>
        <v>0.59375</v>
      </c>
      <c r="J248" s="0" t="str">
        <f aca="false">VLOOKUP(B248,M:P,4,0)</f>
        <v>CAVERNAGO VIA UNGARETTI 66</v>
      </c>
    </row>
    <row r="249" customFormat="false" ht="12.5" hidden="false" customHeight="false" outlineLevel="0" collapsed="false">
      <c r="A249" s="22" t="n">
        <v>46095</v>
      </c>
      <c r="B249" s="0" t="s">
        <v>320</v>
      </c>
      <c r="C249" s="0" t="s">
        <v>840</v>
      </c>
      <c r="D249" s="0" t="s">
        <v>774</v>
      </c>
      <c r="E249" s="0" t="s">
        <v>852</v>
      </c>
      <c r="F249" s="0" t="n">
        <v>6</v>
      </c>
      <c r="G249" s="0" t="s">
        <v>553</v>
      </c>
      <c r="H249" s="0" t="s">
        <v>636</v>
      </c>
      <c r="I249" s="6" t="n">
        <f aca="false">VLOOKUP(B249,M:O,3,0)</f>
        <v>0.604166666666667</v>
      </c>
      <c r="J249" s="0" t="str">
        <f aca="false">VLOOKUP(B249,M:P,4,0)</f>
        <v>RANICA PIAZZA L. BERTETT SNC</v>
      </c>
    </row>
    <row r="250" customFormat="false" ht="12.5" hidden="false" customHeight="false" outlineLevel="0" collapsed="false">
      <c r="A250" s="22" t="n">
        <v>46095</v>
      </c>
      <c r="B250" s="0" t="s">
        <v>848</v>
      </c>
      <c r="C250" s="0" t="s">
        <v>321</v>
      </c>
      <c r="D250" s="0" t="s">
        <v>774</v>
      </c>
      <c r="E250" s="0" t="s">
        <v>852</v>
      </c>
      <c r="F250" s="0" t="n">
        <v>6</v>
      </c>
      <c r="G250" s="0" t="s">
        <v>553</v>
      </c>
      <c r="H250" s="0" t="s">
        <v>636</v>
      </c>
      <c r="I250" s="6" t="n">
        <f aca="false">VLOOKUP(B250,M:O,3,0)</f>
        <v>0.604166666666667</v>
      </c>
      <c r="J250" s="0" t="str">
        <f aca="false">VLOOKUP(B250,M:P,4,0)</f>
        <v>CASAZZA PIAZZA PIEVE 4</v>
      </c>
    </row>
    <row r="251" customFormat="false" ht="12.5" hidden="false" customHeight="false" outlineLevel="0" collapsed="false">
      <c r="A251" s="22" t="n">
        <v>46102</v>
      </c>
      <c r="B251" s="0" t="s">
        <v>843</v>
      </c>
      <c r="C251" s="0" t="s">
        <v>320</v>
      </c>
      <c r="D251" s="0" t="s">
        <v>774</v>
      </c>
      <c r="E251" s="0" t="s">
        <v>852</v>
      </c>
      <c r="F251" s="0" t="n">
        <v>7</v>
      </c>
      <c r="G251" s="0" t="s">
        <v>553</v>
      </c>
      <c r="H251" s="0" t="s">
        <v>636</v>
      </c>
      <c r="I251" s="6" t="n">
        <f aca="false">VLOOKUP(B251,M:O,3,0)</f>
        <v>0.59375</v>
      </c>
      <c r="J251" s="0" t="str">
        <f aca="false">VLOOKUP(B251,M:P,4,0)</f>
        <v>CAVERNAGO VIA UNGARETTI 66</v>
      </c>
    </row>
    <row r="252" customFormat="false" ht="12.5" hidden="false" customHeight="false" outlineLevel="0" collapsed="false">
      <c r="A252" s="22" t="n">
        <v>46102</v>
      </c>
      <c r="B252" s="0" t="s">
        <v>321</v>
      </c>
      <c r="C252" s="0" t="s">
        <v>835</v>
      </c>
      <c r="D252" s="0" t="s">
        <v>774</v>
      </c>
      <c r="E252" s="0" t="s">
        <v>852</v>
      </c>
      <c r="F252" s="0" t="n">
        <v>7</v>
      </c>
      <c r="G252" s="0" t="s">
        <v>553</v>
      </c>
      <c r="H252" s="0" t="s">
        <v>636</v>
      </c>
      <c r="I252" s="6" t="n">
        <f aca="false">VLOOKUP(B252,M:O,3,0)</f>
        <v>0.416666666666667</v>
      </c>
      <c r="J252" s="0" t="str">
        <f aca="false">VLOOKUP(B252,M:P,4,0)</f>
        <v>TORRE BOLDONE VIALE LOMBARDIA 44</v>
      </c>
    </row>
    <row r="253" customFormat="false" ht="12.5" hidden="false" customHeight="false" outlineLevel="0" collapsed="false">
      <c r="A253" s="22" t="n">
        <v>46103</v>
      </c>
      <c r="B253" s="0" t="s">
        <v>845</v>
      </c>
      <c r="C253" s="0" t="s">
        <v>848</v>
      </c>
      <c r="D253" s="0" t="s">
        <v>774</v>
      </c>
      <c r="E253" s="0" t="s">
        <v>852</v>
      </c>
      <c r="F253" s="0" t="n">
        <v>7</v>
      </c>
      <c r="G253" s="0" t="s">
        <v>553</v>
      </c>
      <c r="H253" s="0" t="s">
        <v>636</v>
      </c>
      <c r="I253" s="6" t="n">
        <f aca="false">VLOOKUP(B253,M:O,3,0)</f>
        <v>0.416666666666667</v>
      </c>
      <c r="J253" s="0" t="str">
        <f aca="false">VLOOKUP(B253,M:P,4,0)</f>
        <v>SOVERE VIA CANNETO 4</v>
      </c>
    </row>
    <row r="254" customFormat="false" ht="12.5" hidden="false" customHeight="false" outlineLevel="0" collapsed="false">
      <c r="A254" s="22" t="n">
        <v>46102</v>
      </c>
      <c r="B254" s="0" t="s">
        <v>838</v>
      </c>
      <c r="C254" s="0" t="s">
        <v>840</v>
      </c>
      <c r="D254" s="0" t="s">
        <v>774</v>
      </c>
      <c r="E254" s="0" t="s">
        <v>852</v>
      </c>
      <c r="F254" s="0" t="n">
        <v>7</v>
      </c>
      <c r="G254" s="0" t="s">
        <v>553</v>
      </c>
      <c r="H254" s="0" t="s">
        <v>636</v>
      </c>
      <c r="I254" s="6" t="n">
        <f aca="false">VLOOKUP(B254,M:O,3,0)</f>
        <v>0.583333333333333</v>
      </c>
      <c r="J254" s="0" t="str">
        <f aca="false">VLOOKUP(B254,M:P,4,0)</f>
        <v>ZANICA VIA ROMA 38</v>
      </c>
    </row>
    <row r="255" customFormat="false" ht="12.5" hidden="false" customHeight="false" outlineLevel="0" collapsed="false">
      <c r="A255" s="22" t="n">
        <v>46109</v>
      </c>
      <c r="B255" s="0" t="s">
        <v>835</v>
      </c>
      <c r="C255" s="0" t="s">
        <v>845</v>
      </c>
      <c r="D255" s="0" t="s">
        <v>774</v>
      </c>
      <c r="E255" s="0" t="s">
        <v>852</v>
      </c>
      <c r="F255" s="0" t="n">
        <v>8</v>
      </c>
      <c r="G255" s="0" t="s">
        <v>553</v>
      </c>
      <c r="H255" s="0" t="s">
        <v>636</v>
      </c>
      <c r="I255" s="6" t="n">
        <f aca="false">VLOOKUP(B255,M:O,3,0)</f>
        <v>0.458333333333333</v>
      </c>
      <c r="J255" s="0" t="str">
        <f aca="false">VLOOKUP(B255,M:P,4,0)</f>
        <v>CAROBBIO DEGLI ANGELI VIA GAETANO DONIZETTI 12</v>
      </c>
    </row>
    <row r="256" customFormat="false" ht="12.5" hidden="false" customHeight="false" outlineLevel="0" collapsed="false">
      <c r="A256" s="22" t="n">
        <v>46109</v>
      </c>
      <c r="B256" s="0" t="s">
        <v>848</v>
      </c>
      <c r="C256" s="0" t="s">
        <v>842</v>
      </c>
      <c r="D256" s="0" t="s">
        <v>774</v>
      </c>
      <c r="E256" s="0" t="s">
        <v>852</v>
      </c>
      <c r="F256" s="0" t="n">
        <v>8</v>
      </c>
      <c r="G256" s="0" t="s">
        <v>553</v>
      </c>
      <c r="H256" s="0" t="s">
        <v>636</v>
      </c>
      <c r="I256" s="6" t="n">
        <f aca="false">VLOOKUP(B256,M:O,3,0)</f>
        <v>0.604166666666667</v>
      </c>
      <c r="J256" s="0" t="str">
        <f aca="false">VLOOKUP(B256,M:P,4,0)</f>
        <v>CASAZZA PIAZZA PIEVE 4</v>
      </c>
    </row>
    <row r="257" customFormat="false" ht="12.5" hidden="false" customHeight="false" outlineLevel="0" collapsed="false">
      <c r="A257" s="22" t="n">
        <v>46109</v>
      </c>
      <c r="B257" s="0" t="s">
        <v>838</v>
      </c>
      <c r="C257" s="0" t="s">
        <v>320</v>
      </c>
      <c r="D257" s="0" t="s">
        <v>774</v>
      </c>
      <c r="E257" s="0" t="s">
        <v>852</v>
      </c>
      <c r="F257" s="0" t="n">
        <v>8</v>
      </c>
      <c r="G257" s="0" t="s">
        <v>553</v>
      </c>
      <c r="H257" s="0" t="s">
        <v>636</v>
      </c>
      <c r="I257" s="6" t="n">
        <f aca="false">VLOOKUP(B257,M:O,3,0)</f>
        <v>0.583333333333333</v>
      </c>
      <c r="J257" s="0" t="str">
        <f aca="false">VLOOKUP(B257,M:P,4,0)</f>
        <v>ZANICA VIA ROMA 38</v>
      </c>
    </row>
    <row r="258" customFormat="false" ht="12.5" hidden="false" customHeight="false" outlineLevel="0" collapsed="false">
      <c r="A258" s="22" t="n">
        <v>46109</v>
      </c>
      <c r="B258" s="0" t="s">
        <v>840</v>
      </c>
      <c r="C258" s="0" t="s">
        <v>321</v>
      </c>
      <c r="D258" s="0" t="s">
        <v>774</v>
      </c>
      <c r="E258" s="0" t="s">
        <v>852</v>
      </c>
      <c r="F258" s="0" t="n">
        <v>8</v>
      </c>
      <c r="G258" s="0" t="s">
        <v>553</v>
      </c>
      <c r="H258" s="0" t="s">
        <v>636</v>
      </c>
      <c r="I258" s="6" t="n">
        <f aca="false">VLOOKUP(B258,M:O,3,0)</f>
        <v>0.65625</v>
      </c>
      <c r="J258" s="0" t="str">
        <f aca="false">VLOOKUP(B258,M:P,4,0)</f>
        <v>CASTRO VIA MATTEOTTI 39</v>
      </c>
    </row>
    <row r="259" customFormat="false" ht="12.5" hidden="false" customHeight="false" outlineLevel="0" collapsed="false">
      <c r="A259" s="22" t="n">
        <v>46123</v>
      </c>
      <c r="B259" s="0" t="s">
        <v>842</v>
      </c>
      <c r="C259" s="0" t="s">
        <v>835</v>
      </c>
      <c r="D259" s="0" t="s">
        <v>774</v>
      </c>
      <c r="E259" s="0" t="s">
        <v>852</v>
      </c>
      <c r="F259" s="0" t="n">
        <v>9</v>
      </c>
      <c r="G259" s="0" t="s">
        <v>553</v>
      </c>
      <c r="H259" s="0" t="s">
        <v>636</v>
      </c>
      <c r="I259" s="6" t="n">
        <f aca="false">VLOOKUP(B259,M:O,3,0)</f>
        <v>0.6875</v>
      </c>
      <c r="J259" s="0" t="str">
        <f aca="false">VLOOKUP(B259,M:P,4,0)</f>
        <v>AZZANO SAN PAOLO VIA STEZZANO 33</v>
      </c>
    </row>
    <row r="260" customFormat="false" ht="12.5" hidden="false" customHeight="false" outlineLevel="0" collapsed="false">
      <c r="A260" s="22" t="n">
        <v>46123</v>
      </c>
      <c r="B260" s="0" t="s">
        <v>843</v>
      </c>
      <c r="C260" s="0" t="s">
        <v>848</v>
      </c>
      <c r="D260" s="0" t="s">
        <v>774</v>
      </c>
      <c r="E260" s="0" t="s">
        <v>852</v>
      </c>
      <c r="F260" s="0" t="n">
        <v>9</v>
      </c>
      <c r="G260" s="0" t="s">
        <v>553</v>
      </c>
      <c r="H260" s="0" t="s">
        <v>636</v>
      </c>
      <c r="I260" s="6" t="n">
        <f aca="false">VLOOKUP(B260,M:O,3,0)</f>
        <v>0.59375</v>
      </c>
      <c r="J260" s="0" t="str">
        <f aca="false">VLOOKUP(B260,M:P,4,0)</f>
        <v>CAVERNAGO VIA UNGARETTI 66</v>
      </c>
    </row>
    <row r="261" customFormat="false" ht="12.5" hidden="false" customHeight="false" outlineLevel="0" collapsed="false">
      <c r="A261" s="22" t="n">
        <v>46123</v>
      </c>
      <c r="B261" s="0" t="s">
        <v>321</v>
      </c>
      <c r="C261" s="0" t="s">
        <v>838</v>
      </c>
      <c r="D261" s="0" t="s">
        <v>774</v>
      </c>
      <c r="E261" s="0" t="s">
        <v>852</v>
      </c>
      <c r="F261" s="0" t="n">
        <v>9</v>
      </c>
      <c r="G261" s="0" t="s">
        <v>553</v>
      </c>
      <c r="H261" s="0" t="s">
        <v>636</v>
      </c>
      <c r="I261" s="6" t="n">
        <f aca="false">VLOOKUP(B261,M:O,3,0)</f>
        <v>0.416666666666667</v>
      </c>
      <c r="J261" s="0" t="str">
        <f aca="false">VLOOKUP(B261,M:P,4,0)</f>
        <v>TORRE BOLDONE VIALE LOMBARDIA 44</v>
      </c>
    </row>
    <row r="262" customFormat="false" ht="12.5" hidden="false" customHeight="false" outlineLevel="0" collapsed="false">
      <c r="A262" s="22" t="n">
        <v>46124</v>
      </c>
      <c r="B262" s="0" t="s">
        <v>845</v>
      </c>
      <c r="C262" s="0" t="s">
        <v>840</v>
      </c>
      <c r="D262" s="0" t="s">
        <v>774</v>
      </c>
      <c r="E262" s="0" t="s">
        <v>852</v>
      </c>
      <c r="F262" s="0" t="n">
        <v>9</v>
      </c>
      <c r="G262" s="0" t="s">
        <v>553</v>
      </c>
      <c r="H262" s="0" t="s">
        <v>315</v>
      </c>
      <c r="I262" s="6" t="n">
        <f aca="false">VLOOKUP(B262,M:O,3,0)</f>
        <v>0.416666666666667</v>
      </c>
      <c r="J262" s="0" t="str">
        <f aca="false">VLOOKUP(B262,M:P,4,0)</f>
        <v>SOVERE VIA CANNETO 4</v>
      </c>
    </row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E92" activeCellId="0" sqref="E92"/>
    </sheetView>
  </sheetViews>
  <sheetFormatPr defaultColWidth="12.08203125" defaultRowHeight="12.5" zeroHeight="false" outlineLevelRow="0" outlineLevelCol="0"/>
  <cols>
    <col collapsed="false" customWidth="true" hidden="false" outlineLevel="0" max="2" min="2" style="0" width="20.91"/>
    <col collapsed="false" customWidth="true" hidden="false" outlineLevel="0" max="3" min="3" style="0" width="19.46"/>
    <col collapsed="false" customWidth="true" hidden="false" outlineLevel="0" max="4" min="4" style="0" width="16.27"/>
    <col collapsed="false" customWidth="true" hidden="false" outlineLevel="0" max="6" min="6" style="17" width="11.99"/>
    <col collapsed="false" customWidth="true" hidden="false" outlineLevel="0" max="7" min="7" style="0" width="34.45"/>
  </cols>
  <sheetData>
    <row r="1" customFormat="false" ht="13.9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7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3.9" hidden="false" customHeight="true" outlineLevel="0" collapsed="false">
      <c r="A2" s="23" t="n">
        <v>46060</v>
      </c>
      <c r="B2" s="0" t="s">
        <v>60</v>
      </c>
      <c r="C2" s="0" t="s">
        <v>853</v>
      </c>
      <c r="D2" s="0" t="s">
        <v>854</v>
      </c>
      <c r="E2" s="0" t="s">
        <v>47</v>
      </c>
      <c r="F2" s="17" t="n">
        <v>0.583333333333333</v>
      </c>
      <c r="G2" s="0" t="s">
        <v>62</v>
      </c>
      <c r="H2" s="0" t="n">
        <v>1</v>
      </c>
      <c r="I2" s="0" t="s">
        <v>855</v>
      </c>
      <c r="J2" s="0" t="s">
        <v>18</v>
      </c>
    </row>
    <row r="3" customFormat="false" ht="13.9" hidden="false" customHeight="true" outlineLevel="0" collapsed="false">
      <c r="A3" s="23" t="n">
        <v>46060</v>
      </c>
      <c r="B3" s="0" t="s">
        <v>54</v>
      </c>
      <c r="C3" s="0" t="s">
        <v>856</v>
      </c>
      <c r="D3" s="0" t="s">
        <v>854</v>
      </c>
      <c r="E3" s="0" t="s">
        <v>47</v>
      </c>
      <c r="F3" s="17" t="n">
        <v>0.59375</v>
      </c>
      <c r="G3" s="0" t="s">
        <v>857</v>
      </c>
      <c r="H3" s="0" t="n">
        <v>1</v>
      </c>
      <c r="I3" s="0" t="s">
        <v>855</v>
      </c>
      <c r="J3" s="0" t="s">
        <v>18</v>
      </c>
    </row>
    <row r="4" customFormat="false" ht="13.9" hidden="false" customHeight="true" outlineLevel="0" collapsed="false">
      <c r="A4" s="23" t="n">
        <v>46061</v>
      </c>
      <c r="B4" s="0" t="s">
        <v>858</v>
      </c>
      <c r="C4" s="0" t="s">
        <v>859</v>
      </c>
      <c r="D4" s="0" t="s">
        <v>854</v>
      </c>
      <c r="E4" s="0" t="s">
        <v>47</v>
      </c>
      <c r="F4" s="17" t="n">
        <v>0.385416666666667</v>
      </c>
      <c r="G4" s="0" t="s">
        <v>56</v>
      </c>
      <c r="H4" s="0" t="n">
        <v>1</v>
      </c>
      <c r="I4" s="0" t="s">
        <v>855</v>
      </c>
      <c r="J4" s="0" t="s">
        <v>18</v>
      </c>
    </row>
    <row r="5" customFormat="false" ht="13.9" hidden="false" customHeight="true" outlineLevel="0" collapsed="false">
      <c r="A5" s="23" t="n">
        <v>46067</v>
      </c>
      <c r="B5" s="0" t="s">
        <v>853</v>
      </c>
      <c r="C5" s="0" t="s">
        <v>858</v>
      </c>
      <c r="D5" s="0" t="s">
        <v>854</v>
      </c>
      <c r="E5" s="0" t="s">
        <v>47</v>
      </c>
      <c r="F5" s="17" t="n">
        <v>0.416666666666667</v>
      </c>
      <c r="G5" s="0" t="s">
        <v>860</v>
      </c>
      <c r="H5" s="0" t="n">
        <v>2</v>
      </c>
      <c r="I5" s="0" t="s">
        <v>855</v>
      </c>
      <c r="J5" s="0" t="s">
        <v>18</v>
      </c>
    </row>
    <row r="6" customFormat="false" ht="13.9" hidden="false" customHeight="true" outlineLevel="0" collapsed="false">
      <c r="A6" s="23" t="n">
        <v>46067</v>
      </c>
      <c r="B6" s="0" t="s">
        <v>856</v>
      </c>
      <c r="C6" s="0" t="s">
        <v>60</v>
      </c>
      <c r="D6" s="0" t="s">
        <v>854</v>
      </c>
      <c r="E6" s="0" t="s">
        <v>47</v>
      </c>
      <c r="F6" s="17" t="n">
        <v>0.458333333333333</v>
      </c>
      <c r="G6" s="0" t="s">
        <v>860</v>
      </c>
      <c r="H6" s="0" t="n">
        <v>2</v>
      </c>
      <c r="I6" s="0" t="s">
        <v>855</v>
      </c>
      <c r="J6" s="0" t="s">
        <v>18</v>
      </c>
    </row>
    <row r="7" customFormat="false" ht="13.9" hidden="false" customHeight="true" outlineLevel="0" collapsed="false">
      <c r="A7" s="23" t="n">
        <v>46067</v>
      </c>
      <c r="B7" s="0" t="s">
        <v>859</v>
      </c>
      <c r="C7" s="0" t="s">
        <v>54</v>
      </c>
      <c r="D7" s="0" t="s">
        <v>854</v>
      </c>
      <c r="E7" s="0" t="s">
        <v>47</v>
      </c>
      <c r="F7" s="17" t="n">
        <v>0.604166666666667</v>
      </c>
      <c r="G7" s="0" t="s">
        <v>861</v>
      </c>
      <c r="H7" s="0" t="n">
        <v>3</v>
      </c>
      <c r="I7" s="0" t="s">
        <v>855</v>
      </c>
      <c r="J7" s="0" t="s">
        <v>18</v>
      </c>
    </row>
    <row r="8" customFormat="false" ht="13.9" hidden="false" customHeight="true" outlineLevel="0" collapsed="false">
      <c r="A8" s="23" t="n">
        <v>46074</v>
      </c>
      <c r="B8" s="0" t="s">
        <v>54</v>
      </c>
      <c r="C8" s="0" t="s">
        <v>853</v>
      </c>
      <c r="D8" s="0" t="s">
        <v>854</v>
      </c>
      <c r="E8" s="0" t="s">
        <v>47</v>
      </c>
      <c r="F8" s="17" t="n">
        <v>0.59375</v>
      </c>
      <c r="G8" s="0" t="s">
        <v>857</v>
      </c>
      <c r="H8" s="0" t="n">
        <v>3</v>
      </c>
      <c r="I8" s="0" t="s">
        <v>855</v>
      </c>
      <c r="J8" s="0" t="s">
        <v>18</v>
      </c>
    </row>
    <row r="9" customFormat="false" ht="13.9" hidden="false" customHeight="true" outlineLevel="0" collapsed="false">
      <c r="A9" s="23" t="n">
        <v>46074</v>
      </c>
      <c r="B9" s="0" t="s">
        <v>859</v>
      </c>
      <c r="C9" s="0" t="s">
        <v>856</v>
      </c>
      <c r="D9" s="0" t="s">
        <v>854</v>
      </c>
      <c r="E9" s="0" t="s">
        <v>47</v>
      </c>
      <c r="F9" s="17" t="n">
        <v>0.604166666666667</v>
      </c>
      <c r="G9" s="0" t="s">
        <v>861</v>
      </c>
      <c r="H9" s="0" t="n">
        <v>3</v>
      </c>
      <c r="I9" s="0" t="s">
        <v>855</v>
      </c>
      <c r="J9" s="0" t="s">
        <v>18</v>
      </c>
    </row>
    <row r="10" customFormat="false" ht="13.9" hidden="false" customHeight="true" outlineLevel="0" collapsed="false">
      <c r="A10" s="23" t="n">
        <v>46075</v>
      </c>
      <c r="B10" s="0" t="s">
        <v>858</v>
      </c>
      <c r="C10" s="0" t="s">
        <v>60</v>
      </c>
      <c r="D10" s="0" t="s">
        <v>854</v>
      </c>
      <c r="E10" s="0" t="s">
        <v>47</v>
      </c>
      <c r="F10" s="17" t="n">
        <v>0.385416666666667</v>
      </c>
      <c r="G10" s="0" t="s">
        <v>56</v>
      </c>
      <c r="H10" s="0" t="n">
        <v>3</v>
      </c>
      <c r="I10" s="0" t="s">
        <v>855</v>
      </c>
      <c r="J10" s="0" t="s">
        <v>18</v>
      </c>
    </row>
    <row r="11" customFormat="false" ht="13.9" hidden="false" customHeight="true" outlineLevel="0" collapsed="false">
      <c r="A11" s="23" t="n">
        <v>46081</v>
      </c>
      <c r="B11" s="0" t="s">
        <v>853</v>
      </c>
      <c r="C11" s="0" t="s">
        <v>859</v>
      </c>
      <c r="D11" s="0" t="s">
        <v>854</v>
      </c>
      <c r="E11" s="0" t="s">
        <v>47</v>
      </c>
      <c r="F11" s="17" t="n">
        <v>0.416666666666667</v>
      </c>
      <c r="G11" s="0" t="s">
        <v>860</v>
      </c>
      <c r="H11" s="0" t="n">
        <v>4</v>
      </c>
      <c r="I11" s="0" t="s">
        <v>855</v>
      </c>
      <c r="J11" s="0" t="s">
        <v>18</v>
      </c>
    </row>
    <row r="12" customFormat="false" ht="13.9" hidden="false" customHeight="true" outlineLevel="0" collapsed="false">
      <c r="A12" s="23" t="n">
        <v>46081</v>
      </c>
      <c r="B12" s="0" t="s">
        <v>856</v>
      </c>
      <c r="C12" s="0" t="s">
        <v>858</v>
      </c>
      <c r="D12" s="0" t="s">
        <v>854</v>
      </c>
      <c r="E12" s="0" t="s">
        <v>47</v>
      </c>
      <c r="F12" s="17" t="n">
        <v>0.458333333333333</v>
      </c>
      <c r="G12" s="0" t="s">
        <v>860</v>
      </c>
      <c r="H12" s="0" t="n">
        <v>4</v>
      </c>
      <c r="I12" s="0" t="s">
        <v>855</v>
      </c>
      <c r="J12" s="0" t="s">
        <v>18</v>
      </c>
    </row>
    <row r="13" customFormat="false" ht="13.9" hidden="false" customHeight="true" outlineLevel="0" collapsed="false">
      <c r="A13" s="23" t="n">
        <v>46081</v>
      </c>
      <c r="B13" s="0" t="s">
        <v>60</v>
      </c>
      <c r="C13" s="0" t="s">
        <v>54</v>
      </c>
      <c r="D13" s="0" t="s">
        <v>854</v>
      </c>
      <c r="E13" s="0" t="s">
        <v>47</v>
      </c>
      <c r="F13" s="17" t="n">
        <v>0.583333333333333</v>
      </c>
      <c r="G13" s="0" t="s">
        <v>62</v>
      </c>
      <c r="H13" s="0" t="n">
        <v>4</v>
      </c>
      <c r="I13" s="0" t="s">
        <v>855</v>
      </c>
      <c r="J13" s="0" t="s">
        <v>18</v>
      </c>
    </row>
    <row r="14" customFormat="false" ht="13.9" hidden="false" customHeight="true" outlineLevel="0" collapsed="false">
      <c r="A14" s="23" t="n">
        <v>46088</v>
      </c>
      <c r="B14" s="0" t="s">
        <v>853</v>
      </c>
      <c r="C14" s="0" t="s">
        <v>856</v>
      </c>
      <c r="D14" s="0" t="s">
        <v>854</v>
      </c>
      <c r="E14" s="0" t="s">
        <v>47</v>
      </c>
      <c r="F14" s="17" t="n">
        <v>0.416666666666667</v>
      </c>
      <c r="G14" s="0" t="s">
        <v>860</v>
      </c>
      <c r="H14" s="0" t="n">
        <v>5</v>
      </c>
      <c r="I14" s="0" t="s">
        <v>855</v>
      </c>
      <c r="J14" s="0" t="s">
        <v>18</v>
      </c>
    </row>
    <row r="15" customFormat="false" ht="13.9" hidden="false" customHeight="true" outlineLevel="0" collapsed="false">
      <c r="A15" s="23" t="n">
        <v>46088</v>
      </c>
      <c r="B15" s="0" t="s">
        <v>54</v>
      </c>
      <c r="C15" s="0" t="s">
        <v>858</v>
      </c>
      <c r="D15" s="0" t="s">
        <v>854</v>
      </c>
      <c r="E15" s="0" t="s">
        <v>47</v>
      </c>
      <c r="F15" s="17" t="n">
        <v>0.59375</v>
      </c>
      <c r="G15" s="0" t="s">
        <v>857</v>
      </c>
      <c r="H15" s="0" t="n">
        <v>5</v>
      </c>
      <c r="I15" s="0" t="s">
        <v>855</v>
      </c>
      <c r="J15" s="0" t="s">
        <v>18</v>
      </c>
    </row>
    <row r="16" customFormat="false" ht="13.9" hidden="false" customHeight="true" outlineLevel="0" collapsed="false">
      <c r="A16" s="23" t="n">
        <v>46088</v>
      </c>
      <c r="B16" s="0" t="s">
        <v>859</v>
      </c>
      <c r="C16" s="0" t="s">
        <v>60</v>
      </c>
      <c r="D16" s="0" t="s">
        <v>854</v>
      </c>
      <c r="E16" s="0" t="s">
        <v>47</v>
      </c>
      <c r="F16" s="17" t="n">
        <v>0.604166666666667</v>
      </c>
      <c r="G16" s="0" t="s">
        <v>861</v>
      </c>
      <c r="H16" s="0" t="n">
        <v>5</v>
      </c>
      <c r="I16" s="0" t="s">
        <v>855</v>
      </c>
      <c r="J16" s="0" t="s">
        <v>18</v>
      </c>
    </row>
    <row r="17" customFormat="false" ht="13.9" hidden="false" customHeight="true" outlineLevel="0" collapsed="false">
      <c r="A17" s="23" t="n">
        <v>46095</v>
      </c>
      <c r="B17" s="0" t="s">
        <v>853</v>
      </c>
      <c r="C17" s="0" t="s">
        <v>60</v>
      </c>
      <c r="D17" s="0" t="s">
        <v>854</v>
      </c>
      <c r="E17" s="0" t="s">
        <v>47</v>
      </c>
      <c r="F17" s="17" t="n">
        <v>0.416666666666667</v>
      </c>
      <c r="G17" s="0" t="s">
        <v>860</v>
      </c>
      <c r="H17" s="0" t="n">
        <v>1</v>
      </c>
      <c r="I17" s="0" t="s">
        <v>204</v>
      </c>
      <c r="J17" s="0" t="s">
        <v>18</v>
      </c>
    </row>
    <row r="18" customFormat="false" ht="13.9" hidden="false" customHeight="true" outlineLevel="0" collapsed="false">
      <c r="A18" s="23" t="n">
        <v>46095</v>
      </c>
      <c r="B18" s="0" t="s">
        <v>856</v>
      </c>
      <c r="C18" s="0" t="s">
        <v>54</v>
      </c>
      <c r="D18" s="0" t="s">
        <v>854</v>
      </c>
      <c r="E18" s="0" t="s">
        <v>47</v>
      </c>
      <c r="F18" s="17" t="n">
        <v>0.458333333333333</v>
      </c>
      <c r="G18" s="0" t="s">
        <v>860</v>
      </c>
      <c r="H18" s="0" t="n">
        <v>1</v>
      </c>
      <c r="I18" s="0" t="s">
        <v>204</v>
      </c>
      <c r="J18" s="0" t="s">
        <v>18</v>
      </c>
    </row>
    <row r="19" customFormat="false" ht="13.9" hidden="false" customHeight="true" outlineLevel="0" collapsed="false">
      <c r="A19" s="23" t="n">
        <v>46095</v>
      </c>
      <c r="B19" s="0" t="s">
        <v>859</v>
      </c>
      <c r="C19" s="0" t="s">
        <v>858</v>
      </c>
      <c r="D19" s="0" t="s">
        <v>854</v>
      </c>
      <c r="E19" s="0" t="s">
        <v>47</v>
      </c>
      <c r="F19" s="17" t="n">
        <v>0.604166666666667</v>
      </c>
      <c r="G19" s="0" t="s">
        <v>861</v>
      </c>
      <c r="H19" s="0" t="n">
        <v>1</v>
      </c>
      <c r="I19" s="0" t="s">
        <v>204</v>
      </c>
      <c r="J19" s="0" t="s">
        <v>18</v>
      </c>
    </row>
    <row r="20" customFormat="false" ht="13.9" hidden="false" customHeight="true" outlineLevel="0" collapsed="false">
      <c r="A20" s="23" t="n">
        <v>46102</v>
      </c>
      <c r="B20" s="0" t="s">
        <v>60</v>
      </c>
      <c r="C20" s="0" t="s">
        <v>856</v>
      </c>
      <c r="D20" s="0" t="s">
        <v>854</v>
      </c>
      <c r="E20" s="0" t="s">
        <v>47</v>
      </c>
      <c r="F20" s="17" t="n">
        <v>0.583333333333333</v>
      </c>
      <c r="G20" s="0" t="s">
        <v>62</v>
      </c>
      <c r="H20" s="0" t="n">
        <v>2</v>
      </c>
      <c r="I20" s="0" t="s">
        <v>204</v>
      </c>
      <c r="J20" s="0" t="s">
        <v>18</v>
      </c>
    </row>
    <row r="21" customFormat="false" ht="13.9" hidden="false" customHeight="true" outlineLevel="0" collapsed="false">
      <c r="A21" s="23" t="n">
        <v>46102</v>
      </c>
      <c r="B21" s="0" t="s">
        <v>54</v>
      </c>
      <c r="C21" s="0" t="s">
        <v>859</v>
      </c>
      <c r="D21" s="0" t="s">
        <v>854</v>
      </c>
      <c r="E21" s="0" t="s">
        <v>47</v>
      </c>
      <c r="F21" s="17" t="n">
        <v>0.59375</v>
      </c>
      <c r="G21" s="0" t="s">
        <v>857</v>
      </c>
      <c r="H21" s="0" t="n">
        <v>2</v>
      </c>
      <c r="I21" s="0" t="s">
        <v>204</v>
      </c>
      <c r="J21" s="0" t="s">
        <v>18</v>
      </c>
    </row>
    <row r="22" customFormat="false" ht="13.9" hidden="false" customHeight="true" outlineLevel="0" collapsed="false">
      <c r="A22" s="23" t="n">
        <v>46103</v>
      </c>
      <c r="B22" s="0" t="s">
        <v>858</v>
      </c>
      <c r="C22" s="0" t="s">
        <v>853</v>
      </c>
      <c r="D22" s="0" t="s">
        <v>854</v>
      </c>
      <c r="E22" s="0" t="s">
        <v>47</v>
      </c>
      <c r="F22" s="17" t="n">
        <v>0.385416666666667</v>
      </c>
      <c r="G22" s="0" t="s">
        <v>56</v>
      </c>
      <c r="H22" s="0" t="n">
        <v>2</v>
      </c>
      <c r="I22" s="0" t="s">
        <v>204</v>
      </c>
      <c r="J22" s="0" t="s">
        <v>18</v>
      </c>
    </row>
    <row r="23" customFormat="false" ht="13.9" hidden="false" customHeight="true" outlineLevel="0" collapsed="false">
      <c r="A23" s="23" t="n">
        <v>46109</v>
      </c>
      <c r="B23" s="0" t="s">
        <v>853</v>
      </c>
      <c r="C23" s="0" t="s">
        <v>54</v>
      </c>
      <c r="D23" s="0" t="s">
        <v>854</v>
      </c>
      <c r="E23" s="0" t="s">
        <v>47</v>
      </c>
      <c r="F23" s="17" t="n">
        <v>0.416666666666667</v>
      </c>
      <c r="G23" s="0" t="s">
        <v>860</v>
      </c>
      <c r="H23" s="0" t="n">
        <v>3</v>
      </c>
      <c r="I23" s="0" t="s">
        <v>204</v>
      </c>
      <c r="J23" s="0" t="s">
        <v>18</v>
      </c>
    </row>
    <row r="24" customFormat="false" ht="13.9" hidden="false" customHeight="true" outlineLevel="0" collapsed="false">
      <c r="A24" s="23" t="n">
        <v>46109</v>
      </c>
      <c r="B24" s="0" t="s">
        <v>856</v>
      </c>
      <c r="C24" s="0" t="s">
        <v>859</v>
      </c>
      <c r="D24" s="0" t="s">
        <v>854</v>
      </c>
      <c r="E24" s="0" t="s">
        <v>47</v>
      </c>
      <c r="F24" s="17" t="n">
        <v>0.458333333333333</v>
      </c>
      <c r="G24" s="0" t="s">
        <v>860</v>
      </c>
      <c r="H24" s="0" t="n">
        <v>3</v>
      </c>
      <c r="I24" s="0" t="s">
        <v>204</v>
      </c>
      <c r="J24" s="0" t="s">
        <v>18</v>
      </c>
    </row>
    <row r="25" customFormat="false" ht="13.9" hidden="false" customHeight="true" outlineLevel="0" collapsed="false">
      <c r="A25" s="23" t="n">
        <v>46109</v>
      </c>
      <c r="B25" s="0" t="s">
        <v>60</v>
      </c>
      <c r="C25" s="0" t="s">
        <v>858</v>
      </c>
      <c r="D25" s="0" t="s">
        <v>854</v>
      </c>
      <c r="E25" s="0" t="s">
        <v>47</v>
      </c>
      <c r="F25" s="17" t="n">
        <v>0.583333333333333</v>
      </c>
      <c r="G25" s="0" t="s">
        <v>62</v>
      </c>
      <c r="H25" s="0" t="n">
        <v>3</v>
      </c>
      <c r="I25" s="0" t="s">
        <v>204</v>
      </c>
      <c r="J25" s="0" t="s">
        <v>18</v>
      </c>
    </row>
    <row r="26" customFormat="false" ht="13.9" hidden="false" customHeight="true" outlineLevel="0" collapsed="false">
      <c r="A26" s="23" t="n">
        <v>46123</v>
      </c>
      <c r="B26" s="0" t="s">
        <v>54</v>
      </c>
      <c r="C26" s="0" t="s">
        <v>60</v>
      </c>
      <c r="D26" s="0" t="s">
        <v>854</v>
      </c>
      <c r="E26" s="0" t="s">
        <v>47</v>
      </c>
      <c r="F26" s="17" t="n">
        <v>0.59375</v>
      </c>
      <c r="G26" s="0" t="s">
        <v>857</v>
      </c>
      <c r="H26" s="0" t="n">
        <v>4</v>
      </c>
      <c r="I26" s="0" t="s">
        <v>204</v>
      </c>
      <c r="J26" s="0" t="s">
        <v>18</v>
      </c>
    </row>
    <row r="27" customFormat="false" ht="13.9" hidden="false" customHeight="true" outlineLevel="0" collapsed="false">
      <c r="A27" s="23" t="n">
        <v>46123</v>
      </c>
      <c r="B27" s="0" t="s">
        <v>859</v>
      </c>
      <c r="C27" s="0" t="s">
        <v>853</v>
      </c>
      <c r="D27" s="0" t="s">
        <v>854</v>
      </c>
      <c r="E27" s="0" t="s">
        <v>47</v>
      </c>
      <c r="F27" s="17" t="n">
        <v>0.604166666666667</v>
      </c>
      <c r="G27" s="0" t="s">
        <v>861</v>
      </c>
      <c r="H27" s="0" t="n">
        <v>4</v>
      </c>
      <c r="I27" s="0" t="s">
        <v>204</v>
      </c>
      <c r="J27" s="0" t="s">
        <v>18</v>
      </c>
    </row>
    <row r="28" customFormat="false" ht="13.9" hidden="false" customHeight="true" outlineLevel="0" collapsed="false">
      <c r="A28" s="23" t="n">
        <v>46124</v>
      </c>
      <c r="B28" s="0" t="s">
        <v>858</v>
      </c>
      <c r="C28" s="0" t="s">
        <v>856</v>
      </c>
      <c r="D28" s="0" t="s">
        <v>854</v>
      </c>
      <c r="E28" s="0" t="s">
        <v>47</v>
      </c>
      <c r="F28" s="17" t="n">
        <v>0.385416666666667</v>
      </c>
      <c r="G28" s="0" t="s">
        <v>56</v>
      </c>
      <c r="H28" s="0" t="n">
        <v>4</v>
      </c>
      <c r="I28" s="0" t="s">
        <v>204</v>
      </c>
      <c r="J28" s="0" t="s">
        <v>18</v>
      </c>
    </row>
    <row r="29" customFormat="false" ht="13.9" hidden="false" customHeight="true" outlineLevel="0" collapsed="false">
      <c r="A29" s="23" t="n">
        <v>46130</v>
      </c>
      <c r="B29" s="0" t="s">
        <v>856</v>
      </c>
      <c r="C29" s="0" t="s">
        <v>853</v>
      </c>
      <c r="D29" s="0" t="s">
        <v>854</v>
      </c>
      <c r="E29" s="0" t="s">
        <v>47</v>
      </c>
      <c r="F29" s="17" t="n">
        <v>0.458333333333333</v>
      </c>
      <c r="G29" s="0" t="s">
        <v>860</v>
      </c>
      <c r="H29" s="0" t="n">
        <v>5</v>
      </c>
      <c r="I29" s="0" t="s">
        <v>204</v>
      </c>
      <c r="J29" s="0" t="s">
        <v>18</v>
      </c>
    </row>
    <row r="30" customFormat="false" ht="13.9" hidden="false" customHeight="true" outlineLevel="0" collapsed="false">
      <c r="A30" s="23" t="n">
        <v>46130</v>
      </c>
      <c r="B30" s="0" t="s">
        <v>60</v>
      </c>
      <c r="C30" s="0" t="s">
        <v>859</v>
      </c>
      <c r="D30" s="0" t="s">
        <v>854</v>
      </c>
      <c r="E30" s="0" t="s">
        <v>47</v>
      </c>
      <c r="F30" s="17" t="n">
        <v>0.583333333333333</v>
      </c>
      <c r="G30" s="0" t="s">
        <v>62</v>
      </c>
      <c r="H30" s="0" t="n">
        <v>5</v>
      </c>
      <c r="I30" s="0" t="s">
        <v>204</v>
      </c>
      <c r="J30" s="0" t="s">
        <v>18</v>
      </c>
    </row>
    <row r="31" customFormat="false" ht="13.9" hidden="false" customHeight="true" outlineLevel="0" collapsed="false">
      <c r="A31" s="23" t="n">
        <v>46131</v>
      </c>
      <c r="B31" s="0" t="s">
        <v>858</v>
      </c>
      <c r="C31" s="0" t="s">
        <v>54</v>
      </c>
      <c r="D31" s="0" t="s">
        <v>854</v>
      </c>
      <c r="E31" s="0" t="s">
        <v>47</v>
      </c>
      <c r="F31" s="17" t="n">
        <v>0.385416666666667</v>
      </c>
      <c r="G31" s="0" t="s">
        <v>56</v>
      </c>
      <c r="H31" s="0" t="n">
        <v>5</v>
      </c>
      <c r="I31" s="0" t="s">
        <v>204</v>
      </c>
      <c r="J31" s="0" t="s">
        <v>18</v>
      </c>
    </row>
    <row r="32" customFormat="false" ht="13.9" hidden="false" customHeight="true" outlineLevel="0" collapsed="false">
      <c r="A32" s="23" t="n">
        <v>46060</v>
      </c>
      <c r="B32" s="0" t="s">
        <v>862</v>
      </c>
      <c r="C32" s="0" t="s">
        <v>863</v>
      </c>
      <c r="D32" s="0" t="s">
        <v>854</v>
      </c>
      <c r="E32" s="0" t="s">
        <v>408</v>
      </c>
      <c r="F32" s="17" t="n">
        <v>0.604166666666667</v>
      </c>
      <c r="G32" s="0" t="s">
        <v>864</v>
      </c>
      <c r="H32" s="0" t="n">
        <v>1</v>
      </c>
      <c r="I32" s="0" t="s">
        <v>855</v>
      </c>
      <c r="J32" s="0" t="s">
        <v>18</v>
      </c>
    </row>
    <row r="33" customFormat="false" ht="13.9" hidden="false" customHeight="true" outlineLevel="0" collapsed="false">
      <c r="A33" s="23" t="n">
        <v>46060</v>
      </c>
      <c r="B33" s="0" t="s">
        <v>865</v>
      </c>
      <c r="C33" s="0" t="s">
        <v>200</v>
      </c>
      <c r="D33" s="0" t="s">
        <v>854</v>
      </c>
      <c r="E33" s="0" t="s">
        <v>408</v>
      </c>
      <c r="F33" s="17" t="n">
        <v>0.604166666666667</v>
      </c>
      <c r="G33" s="0" t="s">
        <v>866</v>
      </c>
      <c r="H33" s="0" t="n">
        <v>1</v>
      </c>
      <c r="I33" s="0" t="s">
        <v>855</v>
      </c>
      <c r="J33" s="0" t="s">
        <v>18</v>
      </c>
    </row>
    <row r="34" customFormat="false" ht="13.9" hidden="false" customHeight="true" outlineLevel="0" collapsed="false">
      <c r="A34" s="23" t="n">
        <v>46060</v>
      </c>
      <c r="B34" s="0" t="s">
        <v>208</v>
      </c>
      <c r="C34" s="0" t="s">
        <v>867</v>
      </c>
      <c r="D34" s="0" t="s">
        <v>854</v>
      </c>
      <c r="E34" s="0" t="s">
        <v>408</v>
      </c>
      <c r="F34" s="17" t="n">
        <v>0.625</v>
      </c>
      <c r="G34" s="0" t="s">
        <v>868</v>
      </c>
      <c r="H34" s="0" t="n">
        <v>1</v>
      </c>
      <c r="I34" s="0" t="s">
        <v>855</v>
      </c>
      <c r="J34" s="0" t="s">
        <v>18</v>
      </c>
    </row>
    <row r="35" customFormat="false" ht="13.9" hidden="false" customHeight="true" outlineLevel="0" collapsed="false">
      <c r="A35" s="23" t="n">
        <v>46067</v>
      </c>
      <c r="B35" s="0" t="s">
        <v>200</v>
      </c>
      <c r="C35" s="0" t="s">
        <v>208</v>
      </c>
      <c r="D35" s="0" t="s">
        <v>854</v>
      </c>
      <c r="E35" s="0" t="s">
        <v>408</v>
      </c>
      <c r="F35" s="17" t="n">
        <v>0.4375</v>
      </c>
      <c r="G35" s="0" t="s">
        <v>869</v>
      </c>
      <c r="H35" s="0" t="n">
        <v>2</v>
      </c>
      <c r="I35" s="0" t="s">
        <v>855</v>
      </c>
      <c r="J35" s="0" t="s">
        <v>18</v>
      </c>
    </row>
    <row r="36" customFormat="false" ht="13.9" hidden="false" customHeight="true" outlineLevel="0" collapsed="false">
      <c r="A36" s="23" t="n">
        <v>46067</v>
      </c>
      <c r="B36" s="0" t="s">
        <v>867</v>
      </c>
      <c r="C36" s="0" t="s">
        <v>862</v>
      </c>
      <c r="D36" s="0" t="s">
        <v>854</v>
      </c>
      <c r="E36" s="0" t="s">
        <v>408</v>
      </c>
      <c r="F36" s="17" t="n">
        <v>0.604166666666667</v>
      </c>
      <c r="G36" s="0" t="s">
        <v>870</v>
      </c>
      <c r="H36" s="0" t="n">
        <v>2</v>
      </c>
      <c r="I36" s="0" t="s">
        <v>855</v>
      </c>
      <c r="J36" s="0" t="s">
        <v>18</v>
      </c>
    </row>
    <row r="37" customFormat="false" ht="13.9" hidden="false" customHeight="true" outlineLevel="0" collapsed="false">
      <c r="A37" s="23" t="n">
        <v>46068</v>
      </c>
      <c r="B37" s="0" t="s">
        <v>863</v>
      </c>
      <c r="C37" s="0" t="s">
        <v>865</v>
      </c>
      <c r="D37" s="0" t="s">
        <v>854</v>
      </c>
      <c r="E37" s="0" t="s">
        <v>408</v>
      </c>
      <c r="F37" s="17" t="n">
        <v>0.385416666666667</v>
      </c>
      <c r="G37" s="0" t="s">
        <v>56</v>
      </c>
      <c r="H37" s="0" t="n">
        <v>2</v>
      </c>
      <c r="I37" s="0" t="s">
        <v>855</v>
      </c>
      <c r="J37" s="0" t="s">
        <v>18</v>
      </c>
    </row>
    <row r="38" customFormat="false" ht="13.9" hidden="false" customHeight="true" outlineLevel="0" collapsed="false">
      <c r="A38" s="23" t="n">
        <v>46074</v>
      </c>
      <c r="B38" s="0" t="s">
        <v>200</v>
      </c>
      <c r="C38" s="0" t="s">
        <v>867</v>
      </c>
      <c r="D38" s="0" t="s">
        <v>854</v>
      </c>
      <c r="E38" s="0" t="s">
        <v>408</v>
      </c>
      <c r="F38" s="17" t="n">
        <v>0.4375</v>
      </c>
      <c r="G38" s="0" t="s">
        <v>869</v>
      </c>
      <c r="H38" s="0" t="n">
        <v>3</v>
      </c>
      <c r="I38" s="0" t="s">
        <v>855</v>
      </c>
      <c r="J38" s="0" t="s">
        <v>18</v>
      </c>
    </row>
    <row r="39" customFormat="false" ht="13.9" hidden="false" customHeight="true" outlineLevel="0" collapsed="false">
      <c r="A39" s="23" t="n">
        <v>46074</v>
      </c>
      <c r="B39" s="0" t="s">
        <v>865</v>
      </c>
      <c r="C39" s="0" t="s">
        <v>862</v>
      </c>
      <c r="D39" s="0" t="s">
        <v>854</v>
      </c>
      <c r="E39" s="0" t="s">
        <v>408</v>
      </c>
      <c r="F39" s="17" t="n">
        <v>0.604166666666667</v>
      </c>
      <c r="G39" s="0" t="s">
        <v>866</v>
      </c>
      <c r="H39" s="0" t="n">
        <v>3</v>
      </c>
      <c r="I39" s="0" t="s">
        <v>855</v>
      </c>
      <c r="J39" s="0" t="s">
        <v>18</v>
      </c>
    </row>
    <row r="40" customFormat="false" ht="13.9" hidden="false" customHeight="true" outlineLevel="0" collapsed="false">
      <c r="A40" s="23" t="n">
        <v>46074</v>
      </c>
      <c r="B40" s="0" t="s">
        <v>208</v>
      </c>
      <c r="C40" s="0" t="s">
        <v>863</v>
      </c>
      <c r="D40" s="0" t="s">
        <v>854</v>
      </c>
      <c r="E40" s="0" t="s">
        <v>408</v>
      </c>
      <c r="F40" s="17" t="n">
        <v>0.625</v>
      </c>
      <c r="G40" s="0" t="s">
        <v>868</v>
      </c>
      <c r="H40" s="0" t="n">
        <v>3</v>
      </c>
      <c r="I40" s="0" t="s">
        <v>855</v>
      </c>
      <c r="J40" s="0" t="s">
        <v>18</v>
      </c>
    </row>
    <row r="41" customFormat="false" ht="13.9" hidden="false" customHeight="true" outlineLevel="0" collapsed="false">
      <c r="A41" s="23" t="n">
        <v>46081</v>
      </c>
      <c r="B41" s="0" t="s">
        <v>867</v>
      </c>
      <c r="C41" s="0" t="s">
        <v>865</v>
      </c>
      <c r="D41" s="0" t="s">
        <v>854</v>
      </c>
      <c r="E41" s="0" t="s">
        <v>408</v>
      </c>
      <c r="F41" s="17" t="n">
        <v>0.604166666666667</v>
      </c>
      <c r="G41" s="0" t="s">
        <v>870</v>
      </c>
      <c r="H41" s="0" t="n">
        <v>4</v>
      </c>
      <c r="I41" s="0" t="s">
        <v>855</v>
      </c>
      <c r="J41" s="0" t="s">
        <v>18</v>
      </c>
    </row>
    <row r="42" customFormat="false" ht="13.9" hidden="false" customHeight="true" outlineLevel="0" collapsed="false">
      <c r="A42" s="23" t="n">
        <v>46081</v>
      </c>
      <c r="B42" s="0" t="s">
        <v>862</v>
      </c>
      <c r="C42" s="0" t="s">
        <v>208</v>
      </c>
      <c r="D42" s="0" t="s">
        <v>854</v>
      </c>
      <c r="E42" s="0" t="s">
        <v>408</v>
      </c>
      <c r="F42" s="17" t="n">
        <v>0.604166666666667</v>
      </c>
      <c r="G42" s="0" t="s">
        <v>864</v>
      </c>
      <c r="H42" s="0" t="n">
        <v>4</v>
      </c>
      <c r="I42" s="0" t="s">
        <v>855</v>
      </c>
      <c r="J42" s="0" t="s">
        <v>18</v>
      </c>
    </row>
    <row r="43" customFormat="false" ht="13.9" hidden="false" customHeight="true" outlineLevel="0" collapsed="false">
      <c r="A43" s="23" t="n">
        <v>46082</v>
      </c>
      <c r="B43" s="0" t="s">
        <v>863</v>
      </c>
      <c r="C43" s="0" t="s">
        <v>200</v>
      </c>
      <c r="D43" s="0" t="s">
        <v>854</v>
      </c>
      <c r="E43" s="0" t="s">
        <v>408</v>
      </c>
      <c r="F43" s="17" t="n">
        <v>0.385416666666667</v>
      </c>
      <c r="G43" s="0" t="s">
        <v>56</v>
      </c>
      <c r="H43" s="0" t="n">
        <v>4</v>
      </c>
      <c r="I43" s="0" t="s">
        <v>855</v>
      </c>
      <c r="J43" s="0" t="s">
        <v>18</v>
      </c>
    </row>
    <row r="44" customFormat="false" ht="13.9" hidden="false" customHeight="true" outlineLevel="0" collapsed="false">
      <c r="A44" s="23" t="n">
        <v>46088</v>
      </c>
      <c r="B44" s="0" t="s">
        <v>200</v>
      </c>
      <c r="C44" s="0" t="s">
        <v>862</v>
      </c>
      <c r="D44" s="0" t="s">
        <v>854</v>
      </c>
      <c r="E44" s="0" t="s">
        <v>408</v>
      </c>
      <c r="F44" s="17" t="n">
        <v>0.4375</v>
      </c>
      <c r="G44" s="0" t="s">
        <v>869</v>
      </c>
      <c r="H44" s="0" t="n">
        <v>5</v>
      </c>
      <c r="I44" s="0" t="s">
        <v>855</v>
      </c>
      <c r="J44" s="0" t="s">
        <v>18</v>
      </c>
    </row>
    <row r="45" customFormat="false" ht="13.9" hidden="false" customHeight="true" outlineLevel="0" collapsed="false">
      <c r="A45" s="23" t="n">
        <v>46088</v>
      </c>
      <c r="B45" s="0" t="s">
        <v>208</v>
      </c>
      <c r="C45" s="0" t="s">
        <v>865</v>
      </c>
      <c r="D45" s="0" t="s">
        <v>854</v>
      </c>
      <c r="E45" s="0" t="s">
        <v>408</v>
      </c>
      <c r="F45" s="17" t="n">
        <v>0.625</v>
      </c>
      <c r="G45" s="0" t="s">
        <v>868</v>
      </c>
      <c r="H45" s="0" t="n">
        <v>5</v>
      </c>
      <c r="I45" s="0" t="s">
        <v>855</v>
      </c>
      <c r="J45" s="0" t="s">
        <v>18</v>
      </c>
    </row>
    <row r="46" customFormat="false" ht="13.9" hidden="false" customHeight="true" outlineLevel="0" collapsed="false">
      <c r="A46" s="23" t="n">
        <v>46089</v>
      </c>
      <c r="B46" s="0" t="s">
        <v>863</v>
      </c>
      <c r="C46" s="0" t="s">
        <v>867</v>
      </c>
      <c r="D46" s="0" t="s">
        <v>854</v>
      </c>
      <c r="E46" s="0" t="s">
        <v>408</v>
      </c>
      <c r="F46" s="17" t="n">
        <v>0.385416666666667</v>
      </c>
      <c r="G46" s="0" t="s">
        <v>56</v>
      </c>
      <c r="H46" s="0" t="n">
        <v>5</v>
      </c>
      <c r="I46" s="0" t="s">
        <v>855</v>
      </c>
      <c r="J46" s="0" t="s">
        <v>18</v>
      </c>
    </row>
    <row r="47" customFormat="false" ht="13.9" hidden="false" customHeight="true" outlineLevel="0" collapsed="false">
      <c r="A47" s="23" t="n">
        <v>46095</v>
      </c>
      <c r="B47" s="0" t="s">
        <v>200</v>
      </c>
      <c r="C47" s="0" t="s">
        <v>865</v>
      </c>
      <c r="D47" s="0" t="s">
        <v>854</v>
      </c>
      <c r="E47" s="0" t="s">
        <v>408</v>
      </c>
      <c r="F47" s="17" t="n">
        <v>0.4375</v>
      </c>
      <c r="G47" s="0" t="s">
        <v>869</v>
      </c>
      <c r="H47" s="0" t="n">
        <v>1</v>
      </c>
      <c r="I47" s="0" t="s">
        <v>204</v>
      </c>
      <c r="J47" s="0" t="s">
        <v>18</v>
      </c>
    </row>
    <row r="48" customFormat="false" ht="13.9" hidden="false" customHeight="true" outlineLevel="0" collapsed="false">
      <c r="A48" s="23" t="n">
        <v>46095</v>
      </c>
      <c r="B48" s="0" t="s">
        <v>867</v>
      </c>
      <c r="C48" s="0" t="s">
        <v>208</v>
      </c>
      <c r="D48" s="0" t="s">
        <v>854</v>
      </c>
      <c r="E48" s="0" t="s">
        <v>408</v>
      </c>
      <c r="F48" s="17" t="n">
        <v>0.604166666666667</v>
      </c>
      <c r="G48" s="0" t="s">
        <v>870</v>
      </c>
      <c r="H48" s="0" t="n">
        <v>1</v>
      </c>
      <c r="I48" s="0" t="s">
        <v>204</v>
      </c>
      <c r="J48" s="0" t="s">
        <v>18</v>
      </c>
    </row>
    <row r="49" customFormat="false" ht="13.9" hidden="false" customHeight="true" outlineLevel="0" collapsed="false">
      <c r="A49" s="23" t="n">
        <v>46096</v>
      </c>
      <c r="B49" s="0" t="s">
        <v>863</v>
      </c>
      <c r="C49" s="0" t="s">
        <v>862</v>
      </c>
      <c r="D49" s="0" t="s">
        <v>854</v>
      </c>
      <c r="E49" s="0" t="s">
        <v>408</v>
      </c>
      <c r="F49" s="17" t="n">
        <v>0.385416666666667</v>
      </c>
      <c r="G49" s="0" t="s">
        <v>56</v>
      </c>
      <c r="H49" s="0" t="n">
        <v>1</v>
      </c>
      <c r="I49" s="0" t="s">
        <v>204</v>
      </c>
      <c r="J49" s="0" t="s">
        <v>18</v>
      </c>
    </row>
    <row r="50" customFormat="false" ht="13.9" hidden="false" customHeight="true" outlineLevel="0" collapsed="false">
      <c r="A50" s="23" t="n">
        <v>46102</v>
      </c>
      <c r="B50" s="0" t="s">
        <v>862</v>
      </c>
      <c r="C50" s="0" t="s">
        <v>867</v>
      </c>
      <c r="D50" s="0" t="s">
        <v>854</v>
      </c>
      <c r="E50" s="0" t="s">
        <v>408</v>
      </c>
      <c r="F50" s="17" t="n">
        <v>0.604166666666667</v>
      </c>
      <c r="G50" s="0" t="s">
        <v>864</v>
      </c>
      <c r="H50" s="0" t="n">
        <v>2</v>
      </c>
      <c r="I50" s="0" t="s">
        <v>204</v>
      </c>
      <c r="J50" s="0" t="s">
        <v>18</v>
      </c>
    </row>
    <row r="51" customFormat="false" ht="13.9" hidden="false" customHeight="true" outlineLevel="0" collapsed="false">
      <c r="A51" s="23" t="n">
        <v>46102</v>
      </c>
      <c r="B51" s="0" t="s">
        <v>865</v>
      </c>
      <c r="C51" s="0" t="s">
        <v>863</v>
      </c>
      <c r="D51" s="0" t="s">
        <v>854</v>
      </c>
      <c r="E51" s="0" t="s">
        <v>408</v>
      </c>
      <c r="F51" s="17" t="n">
        <v>0.604166666666667</v>
      </c>
      <c r="G51" s="0" t="s">
        <v>866</v>
      </c>
      <c r="H51" s="0" t="n">
        <v>2</v>
      </c>
      <c r="I51" s="0" t="s">
        <v>204</v>
      </c>
      <c r="J51" s="0" t="s">
        <v>18</v>
      </c>
    </row>
    <row r="52" customFormat="false" ht="13.9" hidden="false" customHeight="true" outlineLevel="0" collapsed="false">
      <c r="A52" s="23" t="n">
        <v>46102</v>
      </c>
      <c r="B52" s="0" t="s">
        <v>208</v>
      </c>
      <c r="C52" s="0" t="s">
        <v>200</v>
      </c>
      <c r="D52" s="0" t="s">
        <v>854</v>
      </c>
      <c r="E52" s="0" t="s">
        <v>408</v>
      </c>
      <c r="F52" s="17" t="n">
        <v>0.625</v>
      </c>
      <c r="G52" s="0" t="s">
        <v>868</v>
      </c>
      <c r="H52" s="0" t="n">
        <v>2</v>
      </c>
      <c r="I52" s="0" t="s">
        <v>204</v>
      </c>
      <c r="J52" s="0" t="s">
        <v>18</v>
      </c>
    </row>
    <row r="53" customFormat="false" ht="13.9" hidden="false" customHeight="true" outlineLevel="0" collapsed="false">
      <c r="A53" s="23" t="n">
        <v>46109</v>
      </c>
      <c r="B53" s="0" t="s">
        <v>867</v>
      </c>
      <c r="C53" s="0" t="s">
        <v>200</v>
      </c>
      <c r="D53" s="0" t="s">
        <v>854</v>
      </c>
      <c r="E53" s="0" t="s">
        <v>408</v>
      </c>
      <c r="F53" s="17" t="n">
        <v>0.604166666666667</v>
      </c>
      <c r="G53" s="0" t="s">
        <v>870</v>
      </c>
      <c r="H53" s="0" t="n">
        <v>3</v>
      </c>
      <c r="I53" s="0" t="s">
        <v>204</v>
      </c>
      <c r="J53" s="0" t="s">
        <v>18</v>
      </c>
    </row>
    <row r="54" customFormat="false" ht="13.9" hidden="false" customHeight="true" outlineLevel="0" collapsed="false">
      <c r="A54" s="23" t="n">
        <v>46109</v>
      </c>
      <c r="B54" s="0" t="s">
        <v>862</v>
      </c>
      <c r="C54" s="0" t="s">
        <v>865</v>
      </c>
      <c r="D54" s="0" t="s">
        <v>854</v>
      </c>
      <c r="E54" s="0" t="s">
        <v>408</v>
      </c>
      <c r="F54" s="17" t="n">
        <v>0.604166666666667</v>
      </c>
      <c r="G54" s="0" t="s">
        <v>864</v>
      </c>
      <c r="H54" s="0" t="n">
        <v>3</v>
      </c>
      <c r="I54" s="0" t="s">
        <v>204</v>
      </c>
      <c r="J54" s="0" t="s">
        <v>18</v>
      </c>
    </row>
    <row r="55" customFormat="false" ht="13.9" hidden="false" customHeight="true" outlineLevel="0" collapsed="false">
      <c r="A55" s="23" t="n">
        <v>46110</v>
      </c>
      <c r="B55" s="0" t="s">
        <v>863</v>
      </c>
      <c r="C55" s="0" t="s">
        <v>208</v>
      </c>
      <c r="D55" s="0" t="s">
        <v>854</v>
      </c>
      <c r="E55" s="0" t="s">
        <v>408</v>
      </c>
      <c r="F55" s="17" t="n">
        <v>0.385416666666667</v>
      </c>
      <c r="G55" s="0" t="s">
        <v>56</v>
      </c>
      <c r="H55" s="0" t="n">
        <v>3</v>
      </c>
      <c r="I55" s="0" t="s">
        <v>204</v>
      </c>
      <c r="J55" s="0" t="s">
        <v>18</v>
      </c>
    </row>
    <row r="56" customFormat="false" ht="13.9" hidden="false" customHeight="true" outlineLevel="0" collapsed="false">
      <c r="A56" s="23" t="n">
        <v>46123</v>
      </c>
      <c r="B56" s="0" t="s">
        <v>200</v>
      </c>
      <c r="C56" s="0" t="s">
        <v>863</v>
      </c>
      <c r="D56" s="0" t="s">
        <v>854</v>
      </c>
      <c r="E56" s="0" t="s">
        <v>408</v>
      </c>
      <c r="F56" s="17" t="n">
        <v>0.4375</v>
      </c>
      <c r="G56" s="0" t="s">
        <v>869</v>
      </c>
      <c r="H56" s="0" t="n">
        <v>4</v>
      </c>
      <c r="I56" s="0" t="s">
        <v>204</v>
      </c>
      <c r="J56" s="0" t="s">
        <v>18</v>
      </c>
    </row>
    <row r="57" customFormat="false" ht="13.9" hidden="false" customHeight="true" outlineLevel="0" collapsed="false">
      <c r="A57" s="23" t="n">
        <v>46123</v>
      </c>
      <c r="B57" s="0" t="s">
        <v>865</v>
      </c>
      <c r="C57" s="0" t="s">
        <v>867</v>
      </c>
      <c r="D57" s="0" t="s">
        <v>854</v>
      </c>
      <c r="E57" s="0" t="s">
        <v>408</v>
      </c>
      <c r="F57" s="17" t="n">
        <v>0.604166666666667</v>
      </c>
      <c r="G57" s="0" t="s">
        <v>866</v>
      </c>
      <c r="H57" s="0" t="n">
        <v>4</v>
      </c>
      <c r="I57" s="0" t="s">
        <v>204</v>
      </c>
      <c r="J57" s="0" t="s">
        <v>18</v>
      </c>
    </row>
    <row r="58" customFormat="false" ht="13.9" hidden="false" customHeight="true" outlineLevel="0" collapsed="false">
      <c r="A58" s="23" t="n">
        <v>46123</v>
      </c>
      <c r="B58" s="0" t="s">
        <v>208</v>
      </c>
      <c r="C58" s="0" t="s">
        <v>862</v>
      </c>
      <c r="D58" s="0" t="s">
        <v>854</v>
      </c>
      <c r="E58" s="0" t="s">
        <v>408</v>
      </c>
      <c r="F58" s="17" t="n">
        <v>0.625</v>
      </c>
      <c r="G58" s="0" t="s">
        <v>868</v>
      </c>
      <c r="H58" s="0" t="n">
        <v>4</v>
      </c>
      <c r="I58" s="0" t="s">
        <v>204</v>
      </c>
      <c r="J58" s="0" t="s">
        <v>18</v>
      </c>
    </row>
    <row r="59" customFormat="false" ht="13.9" hidden="false" customHeight="true" outlineLevel="0" collapsed="false">
      <c r="A59" s="23" t="n">
        <v>46130</v>
      </c>
      <c r="B59" s="0" t="s">
        <v>867</v>
      </c>
      <c r="C59" s="0" t="s">
        <v>863</v>
      </c>
      <c r="D59" s="0" t="s">
        <v>854</v>
      </c>
      <c r="E59" s="0" t="s">
        <v>408</v>
      </c>
      <c r="F59" s="17" t="n">
        <v>0.604166666666667</v>
      </c>
      <c r="G59" s="0" t="s">
        <v>870</v>
      </c>
      <c r="H59" s="0" t="n">
        <v>5</v>
      </c>
      <c r="I59" s="0" t="s">
        <v>204</v>
      </c>
      <c r="J59" s="0" t="s">
        <v>18</v>
      </c>
    </row>
    <row r="60" customFormat="false" ht="13.9" hidden="false" customHeight="true" outlineLevel="0" collapsed="false">
      <c r="A60" s="23" t="n">
        <v>46130</v>
      </c>
      <c r="B60" s="0" t="s">
        <v>862</v>
      </c>
      <c r="C60" s="0" t="s">
        <v>200</v>
      </c>
      <c r="D60" s="0" t="s">
        <v>854</v>
      </c>
      <c r="E60" s="0" t="s">
        <v>408</v>
      </c>
      <c r="F60" s="17" t="n">
        <v>0.604166666666667</v>
      </c>
      <c r="G60" s="0" t="s">
        <v>864</v>
      </c>
      <c r="H60" s="0" t="n">
        <v>5</v>
      </c>
      <c r="I60" s="0" t="s">
        <v>204</v>
      </c>
      <c r="J60" s="0" t="s">
        <v>18</v>
      </c>
    </row>
    <row r="61" customFormat="false" ht="13.9" hidden="false" customHeight="true" outlineLevel="0" collapsed="false">
      <c r="A61" s="23" t="n">
        <v>46130</v>
      </c>
      <c r="B61" s="0" t="s">
        <v>865</v>
      </c>
      <c r="C61" s="0" t="s">
        <v>208</v>
      </c>
      <c r="D61" s="0" t="s">
        <v>854</v>
      </c>
      <c r="E61" s="0" t="s">
        <v>408</v>
      </c>
      <c r="F61" s="17" t="n">
        <v>0.604166666666667</v>
      </c>
      <c r="G61" s="0" t="s">
        <v>866</v>
      </c>
      <c r="H61" s="0" t="n">
        <v>5</v>
      </c>
      <c r="I61" s="0" t="s">
        <v>204</v>
      </c>
      <c r="J61" s="0" t="s">
        <v>18</v>
      </c>
    </row>
    <row r="62" customFormat="false" ht="13.9" hidden="false" customHeight="true" outlineLevel="0" collapsed="false">
      <c r="A62" s="5" t="n">
        <v>46060</v>
      </c>
      <c r="B62" s="0" t="s">
        <v>871</v>
      </c>
      <c r="C62" s="0" t="s">
        <v>96</v>
      </c>
      <c r="D62" s="0" t="s">
        <v>854</v>
      </c>
      <c r="E62" s="0" t="s">
        <v>822</v>
      </c>
      <c r="F62" s="17" t="n">
        <v>0.604166666666667</v>
      </c>
      <c r="G62" s="0" t="s">
        <v>872</v>
      </c>
      <c r="H62" s="0" t="n">
        <v>1</v>
      </c>
      <c r="I62" s="0" t="s">
        <v>855</v>
      </c>
      <c r="J62" s="0" t="s">
        <v>18</v>
      </c>
    </row>
    <row r="63" customFormat="false" ht="13.9" hidden="false" customHeight="true" outlineLevel="0" collapsed="false">
      <c r="A63" s="5" t="n">
        <v>46060</v>
      </c>
      <c r="B63" s="0" t="s">
        <v>873</v>
      </c>
      <c r="C63" s="0" t="s">
        <v>874</v>
      </c>
      <c r="D63" s="0" t="s">
        <v>854</v>
      </c>
      <c r="E63" s="0" t="s">
        <v>822</v>
      </c>
      <c r="F63" s="17" t="n">
        <v>0.635416666666667</v>
      </c>
      <c r="G63" s="0" t="s">
        <v>875</v>
      </c>
      <c r="H63" s="0" t="n">
        <v>1</v>
      </c>
      <c r="I63" s="0" t="s">
        <v>855</v>
      </c>
      <c r="J63" s="0" t="s">
        <v>18</v>
      </c>
    </row>
    <row r="64" customFormat="false" ht="13.9" hidden="false" customHeight="true" outlineLevel="0" collapsed="false">
      <c r="A64" s="5" t="n">
        <v>46060</v>
      </c>
      <c r="B64" s="0" t="s">
        <v>876</v>
      </c>
      <c r="C64" s="0" t="s">
        <v>274</v>
      </c>
      <c r="D64" s="0" t="s">
        <v>854</v>
      </c>
      <c r="E64" s="0" t="s">
        <v>822</v>
      </c>
      <c r="F64" s="17" t="n">
        <v>0.645833333333333</v>
      </c>
      <c r="G64" s="0" t="s">
        <v>877</v>
      </c>
      <c r="H64" s="0" t="n">
        <v>1</v>
      </c>
      <c r="I64" s="0" t="s">
        <v>855</v>
      </c>
      <c r="J64" s="0" t="s">
        <v>18</v>
      </c>
    </row>
    <row r="65" customFormat="false" ht="13.9" hidden="false" customHeight="true" outlineLevel="0" collapsed="false">
      <c r="A65" s="5" t="n">
        <v>46067</v>
      </c>
      <c r="B65" s="0" t="s">
        <v>96</v>
      </c>
      <c r="C65" s="0" t="s">
        <v>876</v>
      </c>
      <c r="D65" s="0" t="s">
        <v>854</v>
      </c>
      <c r="E65" s="0" t="s">
        <v>822</v>
      </c>
      <c r="F65" s="17" t="n">
        <v>0.625</v>
      </c>
      <c r="G65" s="0" t="s">
        <v>878</v>
      </c>
      <c r="H65" s="0" t="n">
        <v>2</v>
      </c>
      <c r="I65" s="0" t="s">
        <v>855</v>
      </c>
      <c r="J65" s="0" t="s">
        <v>18</v>
      </c>
    </row>
    <row r="66" customFormat="false" ht="13.9" hidden="false" customHeight="true" outlineLevel="0" collapsed="false">
      <c r="A66" s="5" t="n">
        <v>46067</v>
      </c>
      <c r="B66" s="0" t="s">
        <v>874</v>
      </c>
      <c r="C66" s="0" t="s">
        <v>871</v>
      </c>
      <c r="D66" s="0" t="s">
        <v>854</v>
      </c>
      <c r="E66" s="0" t="s">
        <v>822</v>
      </c>
      <c r="F66" s="17" t="n">
        <v>0.666666666666667</v>
      </c>
      <c r="G66" s="0" t="s">
        <v>879</v>
      </c>
      <c r="H66" s="0" t="n">
        <v>2</v>
      </c>
      <c r="I66" s="0" t="s">
        <v>855</v>
      </c>
      <c r="J66" s="0" t="s">
        <v>18</v>
      </c>
    </row>
    <row r="67" customFormat="false" ht="13.9" hidden="false" customHeight="true" outlineLevel="0" collapsed="false">
      <c r="A67" s="5" t="n">
        <v>46068</v>
      </c>
      <c r="B67" s="0" t="s">
        <v>274</v>
      </c>
      <c r="C67" s="0" t="s">
        <v>873</v>
      </c>
      <c r="D67" s="0" t="s">
        <v>854</v>
      </c>
      <c r="E67" s="0" t="s">
        <v>822</v>
      </c>
      <c r="F67" s="17" t="n">
        <v>0.416666666666667</v>
      </c>
      <c r="G67" s="0" t="s">
        <v>880</v>
      </c>
      <c r="H67" s="0" t="n">
        <v>2</v>
      </c>
      <c r="I67" s="0" t="s">
        <v>855</v>
      </c>
      <c r="J67" s="0" t="s">
        <v>18</v>
      </c>
    </row>
    <row r="68" customFormat="false" ht="13.9" hidden="false" customHeight="true" outlineLevel="0" collapsed="false">
      <c r="A68" s="5" t="n">
        <v>46074</v>
      </c>
      <c r="B68" s="0" t="s">
        <v>871</v>
      </c>
      <c r="C68" s="0" t="s">
        <v>274</v>
      </c>
      <c r="D68" s="0" t="s">
        <v>854</v>
      </c>
      <c r="E68" s="0" t="s">
        <v>822</v>
      </c>
      <c r="F68" s="17" t="n">
        <v>0.604166666666667</v>
      </c>
      <c r="G68" s="0" t="s">
        <v>872</v>
      </c>
      <c r="H68" s="0" t="n">
        <v>3</v>
      </c>
      <c r="I68" s="0" t="s">
        <v>855</v>
      </c>
      <c r="J68" s="0" t="s">
        <v>18</v>
      </c>
    </row>
    <row r="69" customFormat="false" ht="13.9" hidden="false" customHeight="true" outlineLevel="0" collapsed="false">
      <c r="A69" s="5" t="n">
        <v>46074</v>
      </c>
      <c r="B69" s="0" t="s">
        <v>873</v>
      </c>
      <c r="C69" s="0" t="s">
        <v>876</v>
      </c>
      <c r="D69" s="0" t="s">
        <v>854</v>
      </c>
      <c r="E69" s="0" t="s">
        <v>822</v>
      </c>
      <c r="F69" s="17" t="n">
        <v>0.635416666666667</v>
      </c>
      <c r="G69" s="0" t="s">
        <v>875</v>
      </c>
      <c r="H69" s="0" t="n">
        <v>3</v>
      </c>
      <c r="I69" s="0" t="s">
        <v>855</v>
      </c>
      <c r="J69" s="0" t="s">
        <v>18</v>
      </c>
    </row>
    <row r="70" customFormat="false" ht="13.9" hidden="false" customHeight="true" outlineLevel="0" collapsed="false">
      <c r="A70" s="5" t="n">
        <v>46074</v>
      </c>
      <c r="B70" s="0" t="s">
        <v>874</v>
      </c>
      <c r="C70" s="0" t="s">
        <v>96</v>
      </c>
      <c r="D70" s="0" t="s">
        <v>854</v>
      </c>
      <c r="E70" s="0" t="s">
        <v>822</v>
      </c>
      <c r="F70" s="17" t="n">
        <v>0.666666666666667</v>
      </c>
      <c r="G70" s="0" t="s">
        <v>879</v>
      </c>
      <c r="H70" s="0" t="n">
        <v>3</v>
      </c>
      <c r="I70" s="0" t="s">
        <v>855</v>
      </c>
      <c r="J70" s="0" t="s">
        <v>18</v>
      </c>
    </row>
    <row r="71" customFormat="false" ht="13.9" hidden="false" customHeight="true" outlineLevel="0" collapsed="false">
      <c r="A71" s="5" t="n">
        <v>46081</v>
      </c>
      <c r="B71" s="0" t="s">
        <v>96</v>
      </c>
      <c r="C71" s="0" t="s">
        <v>873</v>
      </c>
      <c r="D71" s="0" t="s">
        <v>854</v>
      </c>
      <c r="E71" s="0" t="s">
        <v>822</v>
      </c>
      <c r="F71" s="17" t="n">
        <v>0.625</v>
      </c>
      <c r="G71" s="0" t="s">
        <v>878</v>
      </c>
      <c r="H71" s="0" t="n">
        <v>4</v>
      </c>
      <c r="I71" s="0" t="s">
        <v>855</v>
      </c>
      <c r="J71" s="0" t="s">
        <v>18</v>
      </c>
    </row>
    <row r="72" customFormat="false" ht="13.9" hidden="false" customHeight="true" outlineLevel="0" collapsed="false">
      <c r="A72" s="5" t="n">
        <v>46081</v>
      </c>
      <c r="B72" s="0" t="s">
        <v>876</v>
      </c>
      <c r="C72" s="0" t="s">
        <v>871</v>
      </c>
      <c r="D72" s="0" t="s">
        <v>854</v>
      </c>
      <c r="E72" s="0" t="s">
        <v>822</v>
      </c>
      <c r="F72" s="17" t="n">
        <v>0.645833333333333</v>
      </c>
      <c r="G72" s="0" t="s">
        <v>877</v>
      </c>
      <c r="H72" s="0" t="n">
        <v>4</v>
      </c>
      <c r="I72" s="0" t="s">
        <v>855</v>
      </c>
      <c r="J72" s="0" t="s">
        <v>18</v>
      </c>
    </row>
    <row r="73" customFormat="false" ht="13.9" hidden="false" customHeight="true" outlineLevel="0" collapsed="false">
      <c r="A73" s="5" t="n">
        <v>46082</v>
      </c>
      <c r="B73" s="0" t="s">
        <v>274</v>
      </c>
      <c r="C73" s="0" t="s">
        <v>874</v>
      </c>
      <c r="D73" s="0" t="s">
        <v>854</v>
      </c>
      <c r="E73" s="0" t="s">
        <v>822</v>
      </c>
      <c r="F73" s="17" t="n">
        <v>0.416666666666667</v>
      </c>
      <c r="G73" s="0" t="s">
        <v>880</v>
      </c>
      <c r="H73" s="0" t="n">
        <v>4</v>
      </c>
      <c r="I73" s="0" t="s">
        <v>855</v>
      </c>
      <c r="J73" s="0" t="s">
        <v>18</v>
      </c>
    </row>
    <row r="74" customFormat="false" ht="13.9" hidden="false" customHeight="true" outlineLevel="0" collapsed="false">
      <c r="A74" s="5" t="n">
        <v>46088</v>
      </c>
      <c r="B74" s="0" t="s">
        <v>871</v>
      </c>
      <c r="C74" s="0" t="s">
        <v>873</v>
      </c>
      <c r="D74" s="0" t="s">
        <v>854</v>
      </c>
      <c r="E74" s="0" t="s">
        <v>822</v>
      </c>
      <c r="F74" s="17" t="n">
        <v>0.604166666666667</v>
      </c>
      <c r="G74" s="0" t="s">
        <v>872</v>
      </c>
      <c r="H74" s="0" t="n">
        <v>5</v>
      </c>
      <c r="I74" s="0" t="s">
        <v>855</v>
      </c>
      <c r="J74" s="0" t="s">
        <v>18</v>
      </c>
    </row>
    <row r="75" customFormat="false" ht="13.9" hidden="false" customHeight="true" outlineLevel="0" collapsed="false">
      <c r="A75" s="5" t="n">
        <v>46088</v>
      </c>
      <c r="B75" s="0" t="s">
        <v>874</v>
      </c>
      <c r="C75" s="0" t="s">
        <v>876</v>
      </c>
      <c r="D75" s="0" t="s">
        <v>854</v>
      </c>
      <c r="E75" s="0" t="s">
        <v>822</v>
      </c>
      <c r="F75" s="17" t="n">
        <v>0.666666666666667</v>
      </c>
      <c r="G75" s="0" t="s">
        <v>879</v>
      </c>
      <c r="H75" s="0" t="n">
        <v>5</v>
      </c>
      <c r="I75" s="0" t="s">
        <v>855</v>
      </c>
      <c r="J75" s="0" t="s">
        <v>18</v>
      </c>
    </row>
    <row r="76" customFormat="false" ht="13.9" hidden="false" customHeight="true" outlineLevel="0" collapsed="false">
      <c r="A76" s="5" t="n">
        <v>46089</v>
      </c>
      <c r="B76" s="0" t="s">
        <v>274</v>
      </c>
      <c r="C76" s="0" t="s">
        <v>96</v>
      </c>
      <c r="D76" s="0" t="s">
        <v>854</v>
      </c>
      <c r="E76" s="0" t="s">
        <v>822</v>
      </c>
      <c r="F76" s="17" t="n">
        <v>0.416666666666667</v>
      </c>
      <c r="G76" s="0" t="s">
        <v>880</v>
      </c>
      <c r="H76" s="0" t="n">
        <v>5</v>
      </c>
      <c r="I76" s="0" t="s">
        <v>855</v>
      </c>
      <c r="J76" s="0" t="s">
        <v>18</v>
      </c>
    </row>
    <row r="77" customFormat="false" ht="13.9" hidden="false" customHeight="true" outlineLevel="0" collapsed="false">
      <c r="A77" s="5" t="n">
        <v>46095</v>
      </c>
      <c r="B77" s="0" t="s">
        <v>96</v>
      </c>
      <c r="C77" s="0" t="s">
        <v>871</v>
      </c>
      <c r="D77" s="0" t="s">
        <v>854</v>
      </c>
      <c r="E77" s="0" t="s">
        <v>822</v>
      </c>
      <c r="F77" s="17" t="n">
        <v>0.625</v>
      </c>
      <c r="G77" s="0" t="s">
        <v>878</v>
      </c>
      <c r="H77" s="0" t="n">
        <v>1</v>
      </c>
      <c r="I77" s="0" t="s">
        <v>204</v>
      </c>
      <c r="J77" s="0" t="s">
        <v>18</v>
      </c>
    </row>
    <row r="78" customFormat="false" ht="13.9" hidden="false" customHeight="true" outlineLevel="0" collapsed="false">
      <c r="A78" s="5" t="n">
        <v>46095</v>
      </c>
      <c r="B78" s="0" t="s">
        <v>874</v>
      </c>
      <c r="C78" s="0" t="s">
        <v>873</v>
      </c>
      <c r="D78" s="0" t="s">
        <v>854</v>
      </c>
      <c r="E78" s="0" t="s">
        <v>822</v>
      </c>
      <c r="F78" s="17" t="n">
        <v>0.666666666666667</v>
      </c>
      <c r="G78" s="0" t="s">
        <v>879</v>
      </c>
      <c r="H78" s="0" t="n">
        <v>1</v>
      </c>
      <c r="I78" s="0" t="s">
        <v>204</v>
      </c>
      <c r="J78" s="0" t="s">
        <v>18</v>
      </c>
    </row>
    <row r="79" customFormat="false" ht="13.9" hidden="false" customHeight="true" outlineLevel="0" collapsed="false">
      <c r="A79" s="5" t="n">
        <v>46096</v>
      </c>
      <c r="B79" s="0" t="s">
        <v>274</v>
      </c>
      <c r="C79" s="0" t="s">
        <v>876</v>
      </c>
      <c r="D79" s="0" t="s">
        <v>854</v>
      </c>
      <c r="E79" s="0" t="s">
        <v>822</v>
      </c>
      <c r="F79" s="17" t="n">
        <v>0.416666666666667</v>
      </c>
      <c r="G79" s="0" t="s">
        <v>880</v>
      </c>
      <c r="H79" s="0" t="n">
        <v>1</v>
      </c>
      <c r="I79" s="0" t="s">
        <v>204</v>
      </c>
      <c r="J79" s="0" t="s">
        <v>18</v>
      </c>
    </row>
    <row r="80" customFormat="false" ht="13.9" hidden="false" customHeight="true" outlineLevel="0" collapsed="false">
      <c r="A80" s="5" t="n">
        <v>46102</v>
      </c>
      <c r="B80" s="0" t="s">
        <v>871</v>
      </c>
      <c r="C80" s="0" t="s">
        <v>874</v>
      </c>
      <c r="D80" s="0" t="s">
        <v>854</v>
      </c>
      <c r="E80" s="0" t="s">
        <v>822</v>
      </c>
      <c r="F80" s="17" t="n">
        <v>0.604166666666667</v>
      </c>
      <c r="G80" s="0" t="s">
        <v>872</v>
      </c>
      <c r="H80" s="0" t="n">
        <v>2</v>
      </c>
      <c r="I80" s="0" t="s">
        <v>204</v>
      </c>
      <c r="J80" s="0" t="s">
        <v>18</v>
      </c>
    </row>
    <row r="81" customFormat="false" ht="13.9" hidden="false" customHeight="true" outlineLevel="0" collapsed="false">
      <c r="A81" s="5" t="n">
        <v>46102</v>
      </c>
      <c r="B81" s="0" t="s">
        <v>873</v>
      </c>
      <c r="C81" s="0" t="s">
        <v>274</v>
      </c>
      <c r="D81" s="0" t="s">
        <v>854</v>
      </c>
      <c r="E81" s="0" t="s">
        <v>822</v>
      </c>
      <c r="F81" s="17" t="n">
        <v>0.635416666666667</v>
      </c>
      <c r="G81" s="0" t="s">
        <v>875</v>
      </c>
      <c r="H81" s="0" t="n">
        <v>2</v>
      </c>
      <c r="I81" s="0" t="s">
        <v>204</v>
      </c>
      <c r="J81" s="0" t="s">
        <v>18</v>
      </c>
    </row>
    <row r="82" customFormat="false" ht="13.9" hidden="false" customHeight="true" outlineLevel="0" collapsed="false">
      <c r="A82" s="5" t="n">
        <v>46102</v>
      </c>
      <c r="B82" s="0" t="s">
        <v>876</v>
      </c>
      <c r="C82" s="0" t="s">
        <v>96</v>
      </c>
      <c r="D82" s="0" t="s">
        <v>854</v>
      </c>
      <c r="E82" s="0" t="s">
        <v>822</v>
      </c>
      <c r="F82" s="17" t="n">
        <v>0.645833333333333</v>
      </c>
      <c r="G82" s="0" t="s">
        <v>877</v>
      </c>
      <c r="H82" s="0" t="n">
        <v>2</v>
      </c>
      <c r="I82" s="0" t="s">
        <v>204</v>
      </c>
      <c r="J82" s="0" t="s">
        <v>18</v>
      </c>
    </row>
    <row r="83" customFormat="false" ht="13.9" hidden="false" customHeight="true" outlineLevel="0" collapsed="false">
      <c r="A83" s="5" t="n">
        <v>46109</v>
      </c>
      <c r="B83" s="0" t="s">
        <v>96</v>
      </c>
      <c r="C83" s="0" t="s">
        <v>874</v>
      </c>
      <c r="D83" s="0" t="s">
        <v>854</v>
      </c>
      <c r="E83" s="0" t="s">
        <v>822</v>
      </c>
      <c r="F83" s="17" t="n">
        <v>0.625</v>
      </c>
      <c r="G83" s="0" t="s">
        <v>878</v>
      </c>
      <c r="H83" s="0" t="n">
        <v>3</v>
      </c>
      <c r="I83" s="0" t="s">
        <v>204</v>
      </c>
      <c r="J83" s="0" t="s">
        <v>18</v>
      </c>
    </row>
    <row r="84" customFormat="false" ht="13.9" hidden="false" customHeight="true" outlineLevel="0" collapsed="false">
      <c r="A84" s="5" t="n">
        <v>46109</v>
      </c>
      <c r="B84" s="0" t="s">
        <v>876</v>
      </c>
      <c r="C84" s="0" t="s">
        <v>873</v>
      </c>
      <c r="D84" s="0" t="s">
        <v>854</v>
      </c>
      <c r="E84" s="0" t="s">
        <v>822</v>
      </c>
      <c r="F84" s="17" t="n">
        <v>0.645833333333333</v>
      </c>
      <c r="G84" s="0" t="s">
        <v>877</v>
      </c>
      <c r="H84" s="0" t="n">
        <v>3</v>
      </c>
      <c r="I84" s="0" t="s">
        <v>204</v>
      </c>
      <c r="J84" s="0" t="s">
        <v>18</v>
      </c>
    </row>
    <row r="85" customFormat="false" ht="13.9" hidden="false" customHeight="true" outlineLevel="0" collapsed="false">
      <c r="A85" s="5" t="n">
        <v>46110</v>
      </c>
      <c r="B85" s="0" t="s">
        <v>274</v>
      </c>
      <c r="C85" s="0" t="s">
        <v>871</v>
      </c>
      <c r="D85" s="0" t="s">
        <v>854</v>
      </c>
      <c r="E85" s="0" t="s">
        <v>822</v>
      </c>
      <c r="F85" s="17" t="n">
        <v>0.416666666666667</v>
      </c>
      <c r="G85" s="0" t="s">
        <v>880</v>
      </c>
      <c r="H85" s="0" t="n">
        <v>3</v>
      </c>
      <c r="I85" s="0" t="s">
        <v>204</v>
      </c>
      <c r="J85" s="0" t="s">
        <v>18</v>
      </c>
    </row>
    <row r="86" customFormat="false" ht="13.9" hidden="false" customHeight="true" outlineLevel="0" collapsed="false">
      <c r="A86" s="5" t="n">
        <v>46123</v>
      </c>
      <c r="B86" s="0" t="s">
        <v>871</v>
      </c>
      <c r="C86" s="0" t="s">
        <v>876</v>
      </c>
      <c r="D86" s="0" t="s">
        <v>854</v>
      </c>
      <c r="E86" s="0" t="s">
        <v>822</v>
      </c>
      <c r="F86" s="17" t="n">
        <v>0.604166666666667</v>
      </c>
      <c r="G86" s="0" t="s">
        <v>872</v>
      </c>
      <c r="H86" s="0" t="n">
        <v>4</v>
      </c>
      <c r="I86" s="0" t="s">
        <v>204</v>
      </c>
      <c r="J86" s="0" t="s">
        <v>18</v>
      </c>
    </row>
    <row r="87" customFormat="false" ht="13.9" hidden="false" customHeight="true" outlineLevel="0" collapsed="false">
      <c r="A87" s="5" t="n">
        <v>46123</v>
      </c>
      <c r="B87" s="0" t="s">
        <v>873</v>
      </c>
      <c r="C87" s="0" t="s">
        <v>96</v>
      </c>
      <c r="D87" s="0" t="s">
        <v>854</v>
      </c>
      <c r="E87" s="0" t="s">
        <v>822</v>
      </c>
      <c r="F87" s="17" t="n">
        <v>0.635416666666667</v>
      </c>
      <c r="G87" s="0" t="s">
        <v>875</v>
      </c>
      <c r="H87" s="0" t="n">
        <v>4</v>
      </c>
      <c r="I87" s="0" t="s">
        <v>204</v>
      </c>
      <c r="J87" s="0" t="s">
        <v>18</v>
      </c>
    </row>
    <row r="88" customFormat="false" ht="13.9" hidden="false" customHeight="true" outlineLevel="0" collapsed="false">
      <c r="A88" s="5" t="n">
        <v>46123</v>
      </c>
      <c r="B88" s="0" t="s">
        <v>874</v>
      </c>
      <c r="C88" s="0" t="s">
        <v>274</v>
      </c>
      <c r="D88" s="0" t="s">
        <v>854</v>
      </c>
      <c r="E88" s="0" t="s">
        <v>822</v>
      </c>
      <c r="F88" s="17" t="n">
        <v>0.666666666666667</v>
      </c>
      <c r="G88" s="0" t="s">
        <v>879</v>
      </c>
      <c r="H88" s="0" t="n">
        <v>4</v>
      </c>
      <c r="I88" s="0" t="s">
        <v>204</v>
      </c>
      <c r="J88" s="0" t="s">
        <v>18</v>
      </c>
    </row>
    <row r="89" customFormat="false" ht="13.9" hidden="false" customHeight="true" outlineLevel="0" collapsed="false">
      <c r="A89" s="5" t="n">
        <v>46130</v>
      </c>
      <c r="B89" s="0" t="s">
        <v>96</v>
      </c>
      <c r="C89" s="0" t="s">
        <v>274</v>
      </c>
      <c r="D89" s="0" t="s">
        <v>854</v>
      </c>
      <c r="E89" s="0" t="s">
        <v>822</v>
      </c>
      <c r="F89" s="17" t="n">
        <v>0.625</v>
      </c>
      <c r="G89" s="0" t="s">
        <v>878</v>
      </c>
      <c r="H89" s="0" t="n">
        <v>5</v>
      </c>
      <c r="I89" s="0" t="s">
        <v>204</v>
      </c>
      <c r="J89" s="0" t="s">
        <v>18</v>
      </c>
    </row>
    <row r="90" customFormat="false" ht="13.9" hidden="false" customHeight="true" outlineLevel="0" collapsed="false">
      <c r="A90" s="5" t="n">
        <v>46130</v>
      </c>
      <c r="B90" s="0" t="s">
        <v>873</v>
      </c>
      <c r="C90" s="0" t="s">
        <v>871</v>
      </c>
      <c r="D90" s="0" t="s">
        <v>854</v>
      </c>
      <c r="E90" s="0" t="s">
        <v>822</v>
      </c>
      <c r="F90" s="17" t="n">
        <v>0.635416666666667</v>
      </c>
      <c r="G90" s="0" t="s">
        <v>875</v>
      </c>
      <c r="H90" s="0" t="n">
        <v>5</v>
      </c>
      <c r="I90" s="0" t="s">
        <v>204</v>
      </c>
      <c r="J90" s="0" t="s">
        <v>18</v>
      </c>
    </row>
    <row r="91" customFormat="false" ht="13.9" hidden="false" customHeight="true" outlineLevel="0" collapsed="false">
      <c r="A91" s="5" t="n">
        <v>46130</v>
      </c>
      <c r="B91" s="0" t="s">
        <v>876</v>
      </c>
      <c r="C91" s="0" t="s">
        <v>874</v>
      </c>
      <c r="D91" s="0" t="s">
        <v>854</v>
      </c>
      <c r="E91" s="0" t="s">
        <v>822</v>
      </c>
      <c r="F91" s="17" t="n">
        <v>0.645833333333333</v>
      </c>
      <c r="G91" s="0" t="s">
        <v>877</v>
      </c>
      <c r="H91" s="0" t="n">
        <v>5</v>
      </c>
      <c r="I91" s="0" t="s">
        <v>204</v>
      </c>
      <c r="J91" s="0" t="s">
        <v>18</v>
      </c>
    </row>
    <row r="92" customFormat="false" ht="13.9" hidden="false" customHeight="true" outlineLevel="0" collapsed="false">
      <c r="A92" s="5" t="n">
        <v>46060</v>
      </c>
      <c r="B92" s="0" t="s">
        <v>881</v>
      </c>
      <c r="C92" s="0" t="s">
        <v>882</v>
      </c>
      <c r="D92" s="0" t="s">
        <v>854</v>
      </c>
      <c r="E92" s="0" t="s">
        <v>14</v>
      </c>
      <c r="F92" s="17" t="n">
        <v>0.427083333333333</v>
      </c>
      <c r="G92" s="0" t="s">
        <v>87</v>
      </c>
      <c r="H92" s="0" t="n">
        <v>1</v>
      </c>
      <c r="I92" s="0" t="s">
        <v>855</v>
      </c>
      <c r="J92" s="0" t="s">
        <v>18</v>
      </c>
    </row>
    <row r="93" customFormat="false" ht="13.9" hidden="false" customHeight="true" outlineLevel="0" collapsed="false">
      <c r="A93" s="5" t="n">
        <v>46060</v>
      </c>
      <c r="B93" s="0" t="s">
        <v>80</v>
      </c>
      <c r="C93" s="0" t="s">
        <v>883</v>
      </c>
      <c r="D93" s="0" t="s">
        <v>854</v>
      </c>
      <c r="E93" s="0" t="s">
        <v>14</v>
      </c>
      <c r="F93" s="17" t="n">
        <v>0.583333333333333</v>
      </c>
      <c r="G93" s="0" t="s">
        <v>86</v>
      </c>
      <c r="H93" s="0" t="n">
        <v>1</v>
      </c>
      <c r="I93" s="0" t="s">
        <v>855</v>
      </c>
      <c r="J93" s="0" t="s">
        <v>18</v>
      </c>
    </row>
    <row r="94" customFormat="false" ht="13.9" hidden="false" customHeight="true" outlineLevel="0" collapsed="false">
      <c r="A94" s="5" t="n">
        <v>46060</v>
      </c>
      <c r="B94" s="0" t="s">
        <v>884</v>
      </c>
      <c r="C94" s="0" t="s">
        <v>885</v>
      </c>
      <c r="D94" s="0" t="s">
        <v>854</v>
      </c>
      <c r="E94" s="0" t="s">
        <v>14</v>
      </c>
      <c r="F94" s="17" t="n">
        <v>0.645833333333333</v>
      </c>
      <c r="G94" s="0" t="s">
        <v>886</v>
      </c>
      <c r="H94" s="0" t="n">
        <v>1</v>
      </c>
      <c r="I94" s="0" t="s">
        <v>855</v>
      </c>
      <c r="J94" s="0" t="s">
        <v>18</v>
      </c>
    </row>
    <row r="95" customFormat="false" ht="13.9" hidden="false" customHeight="true" outlineLevel="0" collapsed="false">
      <c r="A95" s="5" t="n">
        <v>46067</v>
      </c>
      <c r="B95" s="0" t="s">
        <v>882</v>
      </c>
      <c r="C95" s="0" t="s">
        <v>80</v>
      </c>
      <c r="D95" s="0" t="s">
        <v>854</v>
      </c>
      <c r="E95" s="0" t="s">
        <v>14</v>
      </c>
      <c r="F95" s="17" t="n">
        <v>0.604166666666667</v>
      </c>
      <c r="G95" s="0" t="s">
        <v>887</v>
      </c>
      <c r="H95" s="0" t="n">
        <v>2</v>
      </c>
      <c r="I95" s="0" t="s">
        <v>855</v>
      </c>
      <c r="J95" s="0" t="s">
        <v>18</v>
      </c>
    </row>
    <row r="96" customFormat="false" ht="13.9" hidden="false" customHeight="true" outlineLevel="0" collapsed="false">
      <c r="A96" s="5" t="n">
        <v>46067</v>
      </c>
      <c r="B96" s="0" t="s">
        <v>885</v>
      </c>
      <c r="C96" s="0" t="s">
        <v>881</v>
      </c>
      <c r="D96" s="0" t="s">
        <v>854</v>
      </c>
      <c r="E96" s="0" t="s">
        <v>14</v>
      </c>
      <c r="F96" s="17" t="n">
        <v>0.604166666666667</v>
      </c>
      <c r="G96" s="0" t="s">
        <v>888</v>
      </c>
      <c r="H96" s="0" t="n">
        <v>2</v>
      </c>
      <c r="I96" s="0" t="s">
        <v>855</v>
      </c>
      <c r="J96" s="0" t="s">
        <v>18</v>
      </c>
    </row>
    <row r="97" customFormat="false" ht="13.9" hidden="false" customHeight="true" outlineLevel="0" collapsed="false">
      <c r="A97" s="5" t="n">
        <v>46068</v>
      </c>
      <c r="B97" s="0" t="s">
        <v>883</v>
      </c>
      <c r="C97" s="0" t="s">
        <v>884</v>
      </c>
      <c r="D97" s="0" t="s">
        <v>854</v>
      </c>
      <c r="E97" s="0" t="s">
        <v>14</v>
      </c>
      <c r="F97" s="17" t="n">
        <v>0.385416666666667</v>
      </c>
      <c r="G97" s="0" t="s">
        <v>56</v>
      </c>
      <c r="H97" s="0" t="n">
        <v>2</v>
      </c>
      <c r="I97" s="0" t="s">
        <v>855</v>
      </c>
      <c r="J97" s="0" t="s">
        <v>18</v>
      </c>
    </row>
    <row r="98" customFormat="false" ht="13.9" hidden="false" customHeight="true" outlineLevel="0" collapsed="false">
      <c r="A98" s="5" t="n">
        <v>46074</v>
      </c>
      <c r="B98" s="0" t="s">
        <v>881</v>
      </c>
      <c r="C98" s="0" t="s">
        <v>883</v>
      </c>
      <c r="D98" s="0" t="s">
        <v>854</v>
      </c>
      <c r="E98" s="0" t="s">
        <v>14</v>
      </c>
      <c r="F98" s="17" t="n">
        <v>0.427083333333333</v>
      </c>
      <c r="G98" s="0" t="s">
        <v>87</v>
      </c>
      <c r="H98" s="0" t="n">
        <v>3</v>
      </c>
      <c r="I98" s="0" t="s">
        <v>855</v>
      </c>
      <c r="J98" s="0" t="s">
        <v>18</v>
      </c>
    </row>
    <row r="99" customFormat="false" ht="13.9" hidden="false" customHeight="true" outlineLevel="0" collapsed="false">
      <c r="A99" s="5" t="n">
        <v>46074</v>
      </c>
      <c r="B99" s="0" t="s">
        <v>885</v>
      </c>
      <c r="C99" s="0" t="s">
        <v>882</v>
      </c>
      <c r="D99" s="0" t="s">
        <v>854</v>
      </c>
      <c r="E99" s="0" t="s">
        <v>14</v>
      </c>
      <c r="F99" s="17" t="n">
        <v>0.604166666666667</v>
      </c>
      <c r="G99" s="0" t="s">
        <v>888</v>
      </c>
      <c r="H99" s="0" t="n">
        <v>3</v>
      </c>
      <c r="I99" s="0" t="s">
        <v>855</v>
      </c>
      <c r="J99" s="0" t="s">
        <v>18</v>
      </c>
    </row>
    <row r="100" customFormat="false" ht="13.9" hidden="false" customHeight="true" outlineLevel="0" collapsed="false">
      <c r="A100" s="5" t="n">
        <v>46074</v>
      </c>
      <c r="B100" s="0" t="s">
        <v>884</v>
      </c>
      <c r="C100" s="0" t="s">
        <v>80</v>
      </c>
      <c r="D100" s="0" t="s">
        <v>854</v>
      </c>
      <c r="E100" s="0" t="s">
        <v>14</v>
      </c>
      <c r="F100" s="17" t="n">
        <v>0.645833333333333</v>
      </c>
      <c r="G100" s="0" t="s">
        <v>886</v>
      </c>
      <c r="H100" s="0" t="n">
        <v>3</v>
      </c>
      <c r="I100" s="0" t="s">
        <v>855</v>
      </c>
      <c r="J100" s="0" t="s">
        <v>18</v>
      </c>
    </row>
    <row r="101" customFormat="false" ht="13.9" hidden="false" customHeight="true" outlineLevel="0" collapsed="false">
      <c r="A101" s="5" t="n">
        <v>46081</v>
      </c>
      <c r="B101" s="0" t="s">
        <v>80</v>
      </c>
      <c r="C101" s="0" t="s">
        <v>881</v>
      </c>
      <c r="D101" s="0" t="s">
        <v>854</v>
      </c>
      <c r="E101" s="0" t="s">
        <v>14</v>
      </c>
      <c r="F101" s="17" t="n">
        <v>0.583333333333333</v>
      </c>
      <c r="G101" s="0" t="s">
        <v>86</v>
      </c>
      <c r="H101" s="0" t="n">
        <v>4</v>
      </c>
      <c r="I101" s="0" t="s">
        <v>855</v>
      </c>
      <c r="J101" s="0" t="s">
        <v>18</v>
      </c>
    </row>
    <row r="102" customFormat="false" ht="13.9" hidden="false" customHeight="true" outlineLevel="0" collapsed="false">
      <c r="A102" s="5" t="n">
        <v>46081</v>
      </c>
      <c r="B102" s="0" t="s">
        <v>882</v>
      </c>
      <c r="C102" s="0" t="s">
        <v>884</v>
      </c>
      <c r="D102" s="0" t="s">
        <v>854</v>
      </c>
      <c r="E102" s="0" t="s">
        <v>14</v>
      </c>
      <c r="F102" s="17" t="n">
        <v>0.604166666666667</v>
      </c>
      <c r="G102" s="0" t="s">
        <v>887</v>
      </c>
      <c r="H102" s="0" t="n">
        <v>4</v>
      </c>
      <c r="I102" s="0" t="s">
        <v>855</v>
      </c>
      <c r="J102" s="0" t="s">
        <v>18</v>
      </c>
    </row>
    <row r="103" customFormat="false" ht="13.9" hidden="false" customHeight="true" outlineLevel="0" collapsed="false">
      <c r="A103" s="5" t="n">
        <v>46082</v>
      </c>
      <c r="B103" s="0" t="s">
        <v>883</v>
      </c>
      <c r="C103" s="0" t="s">
        <v>885</v>
      </c>
      <c r="D103" s="0" t="s">
        <v>854</v>
      </c>
      <c r="E103" s="0" t="s">
        <v>14</v>
      </c>
      <c r="F103" s="17" t="n">
        <v>0.385416666666667</v>
      </c>
      <c r="G103" s="0" t="s">
        <v>56</v>
      </c>
      <c r="H103" s="0" t="n">
        <v>4</v>
      </c>
      <c r="I103" s="0" t="s">
        <v>855</v>
      </c>
      <c r="J103" s="0" t="s">
        <v>18</v>
      </c>
    </row>
    <row r="104" customFormat="false" ht="13.9" hidden="false" customHeight="true" outlineLevel="0" collapsed="false">
      <c r="A104" s="5" t="n">
        <v>46088</v>
      </c>
      <c r="B104" s="0" t="s">
        <v>881</v>
      </c>
      <c r="C104" s="0" t="s">
        <v>884</v>
      </c>
      <c r="D104" s="0" t="s">
        <v>854</v>
      </c>
      <c r="E104" s="0" t="s">
        <v>14</v>
      </c>
      <c r="F104" s="17" t="n">
        <v>0.427083333333333</v>
      </c>
      <c r="G104" s="0" t="s">
        <v>87</v>
      </c>
      <c r="H104" s="0" t="n">
        <v>5</v>
      </c>
      <c r="I104" s="0" t="s">
        <v>855</v>
      </c>
      <c r="J104" s="0" t="s">
        <v>18</v>
      </c>
    </row>
    <row r="105" customFormat="false" ht="13.9" hidden="false" customHeight="true" outlineLevel="0" collapsed="false">
      <c r="A105" s="5" t="n">
        <v>46088</v>
      </c>
      <c r="B105" s="0" t="s">
        <v>885</v>
      </c>
      <c r="C105" s="0" t="s">
        <v>80</v>
      </c>
      <c r="D105" s="0" t="s">
        <v>854</v>
      </c>
      <c r="E105" s="0" t="s">
        <v>14</v>
      </c>
      <c r="F105" s="17" t="n">
        <v>0.604166666666667</v>
      </c>
      <c r="G105" s="0" t="s">
        <v>888</v>
      </c>
      <c r="H105" s="0" t="n">
        <v>5</v>
      </c>
      <c r="I105" s="0" t="s">
        <v>855</v>
      </c>
      <c r="J105" s="0" t="s">
        <v>18</v>
      </c>
    </row>
    <row r="106" customFormat="false" ht="13.9" hidden="false" customHeight="true" outlineLevel="0" collapsed="false">
      <c r="A106" s="5" t="n">
        <v>46089</v>
      </c>
      <c r="B106" s="0" t="s">
        <v>883</v>
      </c>
      <c r="C106" s="0" t="s">
        <v>882</v>
      </c>
      <c r="D106" s="0" t="s">
        <v>854</v>
      </c>
      <c r="E106" s="0" t="s">
        <v>14</v>
      </c>
      <c r="F106" s="17" t="n">
        <v>0.385416666666667</v>
      </c>
      <c r="G106" s="0" t="s">
        <v>56</v>
      </c>
      <c r="H106" s="0" t="n">
        <v>5</v>
      </c>
      <c r="I106" s="0" t="s">
        <v>855</v>
      </c>
      <c r="J106" s="0" t="s">
        <v>18</v>
      </c>
    </row>
    <row r="107" customFormat="false" ht="13.9" hidden="false" customHeight="true" outlineLevel="0" collapsed="false">
      <c r="A107" s="5" t="n">
        <v>46095</v>
      </c>
      <c r="B107" s="0" t="s">
        <v>882</v>
      </c>
      <c r="C107" s="0" t="s">
        <v>881</v>
      </c>
      <c r="D107" s="0" t="s">
        <v>854</v>
      </c>
      <c r="E107" s="0" t="s">
        <v>14</v>
      </c>
      <c r="F107" s="17" t="n">
        <v>0.604166666666667</v>
      </c>
      <c r="G107" s="0" t="s">
        <v>887</v>
      </c>
      <c r="H107" s="0" t="n">
        <v>1</v>
      </c>
      <c r="I107" s="0" t="s">
        <v>204</v>
      </c>
      <c r="J107" s="0" t="s">
        <v>18</v>
      </c>
    </row>
    <row r="108" customFormat="false" ht="13.9" hidden="false" customHeight="true" outlineLevel="0" collapsed="false">
      <c r="A108" s="5" t="n">
        <v>46095</v>
      </c>
      <c r="B108" s="0" t="s">
        <v>885</v>
      </c>
      <c r="C108" s="0" t="s">
        <v>884</v>
      </c>
      <c r="D108" s="0" t="s">
        <v>854</v>
      </c>
      <c r="E108" s="0" t="s">
        <v>14</v>
      </c>
      <c r="F108" s="17" t="n">
        <v>0.604166666666667</v>
      </c>
      <c r="G108" s="0" t="s">
        <v>888</v>
      </c>
      <c r="H108" s="0" t="n">
        <v>1</v>
      </c>
      <c r="I108" s="0" t="s">
        <v>204</v>
      </c>
      <c r="J108" s="0" t="s">
        <v>18</v>
      </c>
    </row>
    <row r="109" customFormat="false" ht="13.9" hidden="false" customHeight="true" outlineLevel="0" collapsed="false">
      <c r="A109" s="5" t="n">
        <v>46096</v>
      </c>
      <c r="B109" s="0" t="s">
        <v>883</v>
      </c>
      <c r="C109" s="0" t="s">
        <v>80</v>
      </c>
      <c r="D109" s="0" t="s">
        <v>854</v>
      </c>
      <c r="E109" s="0" t="s">
        <v>14</v>
      </c>
      <c r="F109" s="17" t="n">
        <v>0.385416666666667</v>
      </c>
      <c r="G109" s="0" t="s">
        <v>56</v>
      </c>
      <c r="H109" s="0" t="n">
        <v>1</v>
      </c>
      <c r="I109" s="0" t="s">
        <v>204</v>
      </c>
      <c r="J109" s="0" t="s">
        <v>18</v>
      </c>
    </row>
    <row r="110" customFormat="false" ht="13.9" hidden="false" customHeight="true" outlineLevel="0" collapsed="false">
      <c r="A110" s="5" t="n">
        <v>46102</v>
      </c>
      <c r="B110" s="0" t="s">
        <v>881</v>
      </c>
      <c r="C110" s="0" t="s">
        <v>885</v>
      </c>
      <c r="D110" s="0" t="s">
        <v>854</v>
      </c>
      <c r="E110" s="0" t="s">
        <v>14</v>
      </c>
      <c r="F110" s="17" t="n">
        <v>0.427083333333333</v>
      </c>
      <c r="G110" s="0" t="s">
        <v>87</v>
      </c>
      <c r="H110" s="0" t="n">
        <v>2</v>
      </c>
      <c r="I110" s="0" t="s">
        <v>204</v>
      </c>
      <c r="J110" s="0" t="s">
        <v>18</v>
      </c>
    </row>
    <row r="111" customFormat="false" ht="13.9" hidden="false" customHeight="true" outlineLevel="0" collapsed="false">
      <c r="A111" s="5" t="n">
        <v>46102</v>
      </c>
      <c r="B111" s="0" t="s">
        <v>80</v>
      </c>
      <c r="C111" s="0" t="s">
        <v>882</v>
      </c>
      <c r="D111" s="0" t="s">
        <v>854</v>
      </c>
      <c r="E111" s="0" t="s">
        <v>14</v>
      </c>
      <c r="F111" s="17" t="n">
        <v>0.583333333333333</v>
      </c>
      <c r="G111" s="0" t="s">
        <v>86</v>
      </c>
      <c r="H111" s="0" t="n">
        <v>2</v>
      </c>
      <c r="I111" s="0" t="s">
        <v>204</v>
      </c>
      <c r="J111" s="0" t="s">
        <v>18</v>
      </c>
    </row>
    <row r="112" customFormat="false" ht="13.9" hidden="false" customHeight="true" outlineLevel="0" collapsed="false">
      <c r="A112" s="5" t="n">
        <v>46102</v>
      </c>
      <c r="B112" s="0" t="s">
        <v>884</v>
      </c>
      <c r="C112" s="0" t="s">
        <v>883</v>
      </c>
      <c r="D112" s="0" t="s">
        <v>854</v>
      </c>
      <c r="E112" s="0" t="s">
        <v>14</v>
      </c>
      <c r="F112" s="17" t="n">
        <v>0.645833333333333</v>
      </c>
      <c r="G112" s="0" t="s">
        <v>886</v>
      </c>
      <c r="H112" s="0" t="n">
        <v>2</v>
      </c>
      <c r="I112" s="0" t="s">
        <v>204</v>
      </c>
      <c r="J112" s="0" t="s">
        <v>18</v>
      </c>
    </row>
    <row r="113" customFormat="false" ht="13.9" hidden="false" customHeight="true" outlineLevel="0" collapsed="false">
      <c r="A113" s="5" t="n">
        <v>46109</v>
      </c>
      <c r="B113" s="0" t="s">
        <v>80</v>
      </c>
      <c r="C113" s="0" t="s">
        <v>884</v>
      </c>
      <c r="D113" s="0" t="s">
        <v>854</v>
      </c>
      <c r="E113" s="0" t="s">
        <v>14</v>
      </c>
      <c r="F113" s="17" t="n">
        <v>0.583333333333333</v>
      </c>
      <c r="G113" s="0" t="s">
        <v>86</v>
      </c>
      <c r="H113" s="0" t="n">
        <v>3</v>
      </c>
      <c r="I113" s="0" t="s">
        <v>204</v>
      </c>
      <c r="J113" s="0" t="s">
        <v>18</v>
      </c>
    </row>
    <row r="114" customFormat="false" ht="13.9" hidden="false" customHeight="true" outlineLevel="0" collapsed="false">
      <c r="A114" s="5" t="n">
        <v>46109</v>
      </c>
      <c r="B114" s="0" t="s">
        <v>882</v>
      </c>
      <c r="C114" s="0" t="s">
        <v>885</v>
      </c>
      <c r="D114" s="0" t="s">
        <v>854</v>
      </c>
      <c r="E114" s="0" t="s">
        <v>14</v>
      </c>
      <c r="F114" s="17" t="n">
        <v>0.604166666666667</v>
      </c>
      <c r="G114" s="0" t="s">
        <v>887</v>
      </c>
      <c r="H114" s="0" t="n">
        <v>3</v>
      </c>
      <c r="I114" s="0" t="s">
        <v>204</v>
      </c>
      <c r="J114" s="0" t="s">
        <v>18</v>
      </c>
    </row>
    <row r="115" customFormat="false" ht="13.9" hidden="false" customHeight="true" outlineLevel="0" collapsed="false">
      <c r="A115" s="5" t="n">
        <v>46110</v>
      </c>
      <c r="B115" s="0" t="s">
        <v>883</v>
      </c>
      <c r="C115" s="0" t="s">
        <v>881</v>
      </c>
      <c r="D115" s="0" t="s">
        <v>854</v>
      </c>
      <c r="E115" s="0" t="s">
        <v>14</v>
      </c>
      <c r="F115" s="17" t="n">
        <v>0.385416666666667</v>
      </c>
      <c r="G115" s="0" t="s">
        <v>56</v>
      </c>
      <c r="H115" s="0" t="n">
        <v>3</v>
      </c>
      <c r="I115" s="0" t="s">
        <v>204</v>
      </c>
      <c r="J115" s="0" t="s">
        <v>18</v>
      </c>
    </row>
    <row r="116" customFormat="false" ht="13.9" hidden="false" customHeight="true" outlineLevel="0" collapsed="false">
      <c r="A116" s="5" t="n">
        <v>46123</v>
      </c>
      <c r="B116" s="0" t="s">
        <v>881</v>
      </c>
      <c r="C116" s="0" t="s">
        <v>80</v>
      </c>
      <c r="D116" s="0" t="s">
        <v>854</v>
      </c>
      <c r="E116" s="0" t="s">
        <v>14</v>
      </c>
      <c r="F116" s="17" t="n">
        <v>0.427083333333333</v>
      </c>
      <c r="G116" s="0" t="s">
        <v>87</v>
      </c>
      <c r="H116" s="0" t="n">
        <v>4</v>
      </c>
      <c r="I116" s="0" t="s">
        <v>204</v>
      </c>
      <c r="J116" s="0" t="s">
        <v>18</v>
      </c>
    </row>
    <row r="117" customFormat="false" ht="13.9" hidden="false" customHeight="true" outlineLevel="0" collapsed="false">
      <c r="A117" s="5" t="n">
        <v>46123</v>
      </c>
      <c r="B117" s="0" t="s">
        <v>885</v>
      </c>
      <c r="C117" s="0" t="s">
        <v>883</v>
      </c>
      <c r="D117" s="0" t="s">
        <v>854</v>
      </c>
      <c r="E117" s="0" t="s">
        <v>14</v>
      </c>
      <c r="F117" s="17" t="n">
        <v>0.604166666666667</v>
      </c>
      <c r="G117" s="0" t="s">
        <v>888</v>
      </c>
      <c r="H117" s="0" t="n">
        <v>4</v>
      </c>
      <c r="I117" s="0" t="s">
        <v>204</v>
      </c>
      <c r="J117" s="0" t="s">
        <v>18</v>
      </c>
    </row>
    <row r="118" customFormat="false" ht="13.9" hidden="false" customHeight="true" outlineLevel="0" collapsed="false">
      <c r="A118" s="5" t="n">
        <v>46123</v>
      </c>
      <c r="B118" s="0" t="s">
        <v>884</v>
      </c>
      <c r="C118" s="0" t="s">
        <v>882</v>
      </c>
      <c r="D118" s="0" t="s">
        <v>854</v>
      </c>
      <c r="E118" s="0" t="s">
        <v>14</v>
      </c>
      <c r="F118" s="17" t="n">
        <v>0.645833333333333</v>
      </c>
      <c r="G118" s="0" t="s">
        <v>886</v>
      </c>
      <c r="H118" s="0" t="n">
        <v>4</v>
      </c>
      <c r="I118" s="0" t="s">
        <v>204</v>
      </c>
      <c r="J118" s="0" t="s">
        <v>18</v>
      </c>
    </row>
    <row r="119" customFormat="false" ht="13.9" hidden="false" customHeight="true" outlineLevel="0" collapsed="false">
      <c r="A119" s="5" t="n">
        <v>46130</v>
      </c>
      <c r="B119" s="0" t="s">
        <v>80</v>
      </c>
      <c r="C119" s="0" t="s">
        <v>885</v>
      </c>
      <c r="D119" s="0" t="s">
        <v>854</v>
      </c>
      <c r="E119" s="0" t="s">
        <v>14</v>
      </c>
      <c r="F119" s="17" t="n">
        <v>0.583333333333333</v>
      </c>
      <c r="G119" s="0" t="s">
        <v>86</v>
      </c>
      <c r="H119" s="0" t="n">
        <v>5</v>
      </c>
      <c r="I119" s="0" t="s">
        <v>204</v>
      </c>
      <c r="J119" s="0" t="s">
        <v>18</v>
      </c>
    </row>
    <row r="120" customFormat="false" ht="13.9" hidden="false" customHeight="true" outlineLevel="0" collapsed="false">
      <c r="A120" s="5" t="n">
        <v>46130</v>
      </c>
      <c r="B120" s="0" t="s">
        <v>882</v>
      </c>
      <c r="C120" s="0" t="s">
        <v>883</v>
      </c>
      <c r="D120" s="0" t="s">
        <v>854</v>
      </c>
      <c r="E120" s="0" t="s">
        <v>14</v>
      </c>
      <c r="F120" s="17" t="n">
        <v>0.604166666666667</v>
      </c>
      <c r="G120" s="0" t="s">
        <v>887</v>
      </c>
      <c r="H120" s="0" t="n">
        <v>5</v>
      </c>
      <c r="I120" s="0" t="s">
        <v>204</v>
      </c>
      <c r="J120" s="0" t="s">
        <v>18</v>
      </c>
    </row>
    <row r="121" customFormat="false" ht="13.9" hidden="false" customHeight="true" outlineLevel="0" collapsed="false">
      <c r="A121" s="5" t="n">
        <v>46130</v>
      </c>
      <c r="B121" s="0" t="s">
        <v>884</v>
      </c>
      <c r="C121" s="0" t="s">
        <v>881</v>
      </c>
      <c r="D121" s="0" t="s">
        <v>854</v>
      </c>
      <c r="E121" s="0" t="s">
        <v>14</v>
      </c>
      <c r="F121" s="17" t="n">
        <v>0.645833333333333</v>
      </c>
      <c r="G121" s="0" t="s">
        <v>886</v>
      </c>
      <c r="H121" s="0" t="n">
        <v>5</v>
      </c>
      <c r="I121" s="0" t="s">
        <v>204</v>
      </c>
      <c r="J12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54"/>
  <sheetViews>
    <sheetView showFormulas="false" showGridLines="true" showRowColHeaders="true" showZeros="true" rightToLeft="false" tabSelected="false" showOutlineSymbols="true" defaultGridColor="true" view="normal" topLeftCell="A253" colorId="64" zoomScale="100" zoomScaleNormal="100" zoomScalePageLayoutView="100" workbookViewId="0">
      <selection pane="topLeft" activeCell="H10" activeCellId="0" sqref="H10"/>
    </sheetView>
  </sheetViews>
  <sheetFormatPr defaultColWidth="11.89453125" defaultRowHeight="12.5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17" width="11.54"/>
    <col collapsed="false" customWidth="true" hidden="false" outlineLevel="0" max="7" min="7" style="0" width="45.83"/>
  </cols>
  <sheetData>
    <row r="1" customFormat="false" ht="12.5" hidden="false" customHeight="false" outlineLevel="0" collapsed="false">
      <c r="A1" s="0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24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5" t="n">
        <v>46040</v>
      </c>
      <c r="B2" s="0" t="s">
        <v>535</v>
      </c>
      <c r="C2" s="0" t="s">
        <v>889</v>
      </c>
      <c r="D2" s="0" t="s">
        <v>890</v>
      </c>
      <c r="E2" s="0" t="s">
        <v>47</v>
      </c>
      <c r="F2" s="17" t="n">
        <v>0.375</v>
      </c>
      <c r="G2" s="0" t="s">
        <v>891</v>
      </c>
      <c r="H2" s="0" t="n">
        <v>1</v>
      </c>
      <c r="I2" s="0" t="s">
        <v>17</v>
      </c>
      <c r="J2" s="0" t="s">
        <v>290</v>
      </c>
    </row>
    <row r="3" customFormat="false" ht="12.5" hidden="false" customHeight="false" outlineLevel="0" collapsed="false">
      <c r="A3" s="5" t="n">
        <v>46040</v>
      </c>
      <c r="B3" s="0" t="s">
        <v>892</v>
      </c>
      <c r="C3" s="0" t="s">
        <v>528</v>
      </c>
      <c r="D3" s="0" t="s">
        <v>890</v>
      </c>
      <c r="E3" s="0" t="s">
        <v>47</v>
      </c>
      <c r="F3" s="17" t="n">
        <v>0.46875</v>
      </c>
      <c r="G3" s="0" t="s">
        <v>893</v>
      </c>
      <c r="H3" s="0" t="n">
        <v>1</v>
      </c>
      <c r="I3" s="0" t="s">
        <v>17</v>
      </c>
      <c r="J3" s="0" t="s">
        <v>290</v>
      </c>
    </row>
    <row r="4" customFormat="false" ht="12.5" hidden="false" customHeight="false" outlineLevel="0" collapsed="false">
      <c r="A4" s="5" t="n">
        <v>46040</v>
      </c>
      <c r="B4" s="0" t="s">
        <v>894</v>
      </c>
      <c r="C4" s="0" t="s">
        <v>895</v>
      </c>
      <c r="D4" s="0" t="s">
        <v>890</v>
      </c>
      <c r="E4" s="0" t="s">
        <v>47</v>
      </c>
      <c r="F4" s="17" t="n">
        <v>0.458333333333333</v>
      </c>
      <c r="G4" s="0" t="s">
        <v>896</v>
      </c>
      <c r="H4" s="0" t="n">
        <v>1</v>
      </c>
      <c r="I4" s="0" t="s">
        <v>17</v>
      </c>
      <c r="J4" s="0" t="s">
        <v>290</v>
      </c>
    </row>
    <row r="5" customFormat="false" ht="12.5" hidden="false" customHeight="false" outlineLevel="0" collapsed="false">
      <c r="A5" s="5" t="n">
        <v>46040</v>
      </c>
      <c r="B5" s="0" t="s">
        <v>897</v>
      </c>
      <c r="C5" s="0" t="s">
        <v>898</v>
      </c>
      <c r="D5" s="0" t="s">
        <v>890</v>
      </c>
      <c r="E5" s="0" t="s">
        <v>47</v>
      </c>
      <c r="F5" s="17" t="n">
        <v>0.46875</v>
      </c>
      <c r="G5" s="0" t="s">
        <v>899</v>
      </c>
      <c r="H5" s="0" t="n">
        <v>1</v>
      </c>
      <c r="I5" s="0" t="s">
        <v>17</v>
      </c>
      <c r="J5" s="0" t="s">
        <v>290</v>
      </c>
    </row>
    <row r="6" customFormat="false" ht="12.5" hidden="false" customHeight="false" outlineLevel="0" collapsed="false">
      <c r="A6" s="5" t="n">
        <v>46040</v>
      </c>
      <c r="B6" s="0" t="s">
        <v>900</v>
      </c>
      <c r="C6" s="0" t="s">
        <v>532</v>
      </c>
      <c r="D6" s="0" t="s">
        <v>890</v>
      </c>
      <c r="E6" s="0" t="s">
        <v>47</v>
      </c>
      <c r="F6" s="17" t="n">
        <v>0.375</v>
      </c>
      <c r="G6" s="0" t="s">
        <v>901</v>
      </c>
      <c r="H6" s="0" t="n">
        <v>1</v>
      </c>
      <c r="I6" s="0" t="s">
        <v>17</v>
      </c>
      <c r="J6" s="0" t="s">
        <v>290</v>
      </c>
    </row>
    <row r="7" customFormat="false" ht="12.5" hidden="false" customHeight="false" outlineLevel="0" collapsed="false">
      <c r="A7" s="5" t="n">
        <v>46040</v>
      </c>
      <c r="B7" s="0" t="s">
        <v>902</v>
      </c>
      <c r="C7" s="0" t="s">
        <v>903</v>
      </c>
      <c r="D7" s="0" t="s">
        <v>890</v>
      </c>
      <c r="E7" s="0" t="s">
        <v>47</v>
      </c>
      <c r="F7" s="17" t="n">
        <v>0.416666666666667</v>
      </c>
      <c r="G7" s="0" t="s">
        <v>904</v>
      </c>
      <c r="H7" s="0" t="n">
        <v>1</v>
      </c>
      <c r="I7" s="0" t="s">
        <v>17</v>
      </c>
      <c r="J7" s="0" t="s">
        <v>290</v>
      </c>
    </row>
    <row r="8" customFormat="false" ht="12.5" hidden="false" customHeight="false" outlineLevel="0" collapsed="false">
      <c r="A8" s="5" t="n">
        <v>46040</v>
      </c>
      <c r="B8" s="0" t="s">
        <v>905</v>
      </c>
      <c r="C8" s="0" t="s">
        <v>906</v>
      </c>
      <c r="D8" s="0" t="s">
        <v>890</v>
      </c>
      <c r="E8" s="0" t="s">
        <v>47</v>
      </c>
      <c r="F8" s="17" t="n">
        <v>0.40625</v>
      </c>
      <c r="G8" s="0" t="s">
        <v>907</v>
      </c>
      <c r="H8" s="0" t="n">
        <v>1</v>
      </c>
      <c r="I8" s="0" t="s">
        <v>17</v>
      </c>
      <c r="J8" s="0" t="s">
        <v>290</v>
      </c>
    </row>
    <row r="9" customFormat="false" ht="12.5" hidden="false" customHeight="false" outlineLevel="0" collapsed="false">
      <c r="A9" s="5" t="n">
        <v>46046</v>
      </c>
      <c r="B9" s="0" t="s">
        <v>906</v>
      </c>
      <c r="C9" s="0" t="s">
        <v>902</v>
      </c>
      <c r="D9" s="0" t="s">
        <v>890</v>
      </c>
      <c r="E9" s="0" t="s">
        <v>47</v>
      </c>
      <c r="F9" s="17" t="n">
        <v>0.708333333333333</v>
      </c>
      <c r="G9" s="0" t="s">
        <v>908</v>
      </c>
      <c r="H9" s="0" t="n">
        <v>2</v>
      </c>
      <c r="I9" s="0" t="s">
        <v>17</v>
      </c>
      <c r="J9" s="0" t="s">
        <v>290</v>
      </c>
    </row>
    <row r="10" customFormat="false" ht="12.5" hidden="false" customHeight="false" outlineLevel="0" collapsed="false">
      <c r="A10" s="5" t="n">
        <v>46047</v>
      </c>
      <c r="B10" s="0" t="s">
        <v>528</v>
      </c>
      <c r="C10" s="0" t="s">
        <v>535</v>
      </c>
      <c r="D10" s="0" t="s">
        <v>890</v>
      </c>
      <c r="E10" s="0" t="s">
        <v>47</v>
      </c>
      <c r="F10" s="17" t="n">
        <v>0.447916666666667</v>
      </c>
      <c r="G10" s="0" t="s">
        <v>909</v>
      </c>
      <c r="H10" s="0" t="n">
        <v>2</v>
      </c>
      <c r="I10" s="0" t="s">
        <v>17</v>
      </c>
      <c r="J10" s="0" t="s">
        <v>290</v>
      </c>
    </row>
    <row r="11" customFormat="false" ht="12.5" hidden="false" customHeight="false" outlineLevel="0" collapsed="false">
      <c r="A11" s="5" t="n">
        <v>46046</v>
      </c>
      <c r="B11" s="0" t="s">
        <v>895</v>
      </c>
      <c r="C11" s="0" t="s">
        <v>900</v>
      </c>
      <c r="D11" s="0" t="s">
        <v>890</v>
      </c>
      <c r="E11" s="0" t="s">
        <v>47</v>
      </c>
      <c r="F11" s="17" t="n">
        <v>0.666666666666667</v>
      </c>
      <c r="G11" s="0" t="s">
        <v>910</v>
      </c>
      <c r="H11" s="0" t="n">
        <v>2</v>
      </c>
      <c r="I11" s="0" t="s">
        <v>17</v>
      </c>
      <c r="J11" s="0" t="s">
        <v>290</v>
      </c>
    </row>
    <row r="12" customFormat="false" ht="12.5" hidden="false" customHeight="false" outlineLevel="0" collapsed="false">
      <c r="A12" s="5" t="n">
        <v>46047</v>
      </c>
      <c r="B12" s="0" t="s">
        <v>532</v>
      </c>
      <c r="C12" s="0" t="s">
        <v>892</v>
      </c>
      <c r="D12" s="0" t="s">
        <v>890</v>
      </c>
      <c r="E12" s="0" t="s">
        <v>47</v>
      </c>
      <c r="F12" s="17" t="n">
        <v>0.416666666666667</v>
      </c>
      <c r="G12" s="0" t="s">
        <v>911</v>
      </c>
      <c r="H12" s="0" t="n">
        <v>2</v>
      </c>
      <c r="I12" s="0" t="s">
        <v>17</v>
      </c>
      <c r="J12" s="0" t="s">
        <v>290</v>
      </c>
    </row>
    <row r="13" customFormat="false" ht="12.5" hidden="false" customHeight="false" outlineLevel="0" collapsed="false">
      <c r="A13" s="5" t="n">
        <v>46047</v>
      </c>
      <c r="B13" s="0" t="s">
        <v>898</v>
      </c>
      <c r="C13" s="0" t="s">
        <v>894</v>
      </c>
      <c r="D13" s="0" t="s">
        <v>890</v>
      </c>
      <c r="E13" s="0" t="s">
        <v>47</v>
      </c>
      <c r="F13" s="17" t="n">
        <v>0.385416666666667</v>
      </c>
      <c r="G13" s="0" t="s">
        <v>912</v>
      </c>
      <c r="H13" s="0" t="n">
        <v>2</v>
      </c>
      <c r="I13" s="0" t="s">
        <v>17</v>
      </c>
      <c r="J13" s="0" t="s">
        <v>290</v>
      </c>
    </row>
    <row r="14" customFormat="false" ht="12.5" hidden="false" customHeight="false" outlineLevel="0" collapsed="false">
      <c r="A14" s="5" t="n">
        <v>46047</v>
      </c>
      <c r="B14" s="0" t="s">
        <v>889</v>
      </c>
      <c r="C14" s="0" t="s">
        <v>905</v>
      </c>
      <c r="D14" s="0" t="s">
        <v>890</v>
      </c>
      <c r="E14" s="0" t="s">
        <v>47</v>
      </c>
      <c r="F14" s="17" t="n">
        <v>0.458333333333333</v>
      </c>
      <c r="G14" s="0" t="s">
        <v>913</v>
      </c>
      <c r="H14" s="0" t="n">
        <v>2</v>
      </c>
      <c r="I14" s="0" t="s">
        <v>17</v>
      </c>
      <c r="J14" s="0" t="s">
        <v>290</v>
      </c>
    </row>
    <row r="15" customFormat="false" ht="12.5" hidden="false" customHeight="false" outlineLevel="0" collapsed="false">
      <c r="A15" s="5" t="n">
        <v>46047</v>
      </c>
      <c r="B15" s="0" t="s">
        <v>903</v>
      </c>
      <c r="C15" s="0" t="s">
        <v>897</v>
      </c>
      <c r="D15" s="0" t="s">
        <v>890</v>
      </c>
      <c r="E15" s="0" t="s">
        <v>47</v>
      </c>
      <c r="F15" s="17" t="n">
        <v>0.416666666666667</v>
      </c>
      <c r="G15" s="0" t="s">
        <v>914</v>
      </c>
      <c r="H15" s="0" t="n">
        <v>2</v>
      </c>
      <c r="I15" s="0" t="s">
        <v>17</v>
      </c>
      <c r="J15" s="0" t="s">
        <v>290</v>
      </c>
    </row>
    <row r="16" customFormat="false" ht="12.5" hidden="false" customHeight="false" outlineLevel="0" collapsed="false">
      <c r="A16" s="5" t="n">
        <v>46054</v>
      </c>
      <c r="B16" s="0" t="s">
        <v>905</v>
      </c>
      <c r="C16" s="0" t="s">
        <v>535</v>
      </c>
      <c r="D16" s="0" t="s">
        <v>890</v>
      </c>
      <c r="E16" s="0" t="s">
        <v>47</v>
      </c>
      <c r="F16" s="17" t="n">
        <v>0.40625</v>
      </c>
      <c r="G16" s="0" t="s">
        <v>907</v>
      </c>
      <c r="H16" s="0" t="n">
        <v>3</v>
      </c>
      <c r="I16" s="0" t="s">
        <v>17</v>
      </c>
      <c r="J16" s="0" t="s">
        <v>290</v>
      </c>
    </row>
    <row r="17" customFormat="false" ht="12.5" hidden="false" customHeight="false" outlineLevel="0" collapsed="false">
      <c r="A17" s="5" t="n">
        <v>46054</v>
      </c>
      <c r="B17" s="0" t="s">
        <v>902</v>
      </c>
      <c r="C17" s="0" t="s">
        <v>889</v>
      </c>
      <c r="D17" s="0" t="s">
        <v>890</v>
      </c>
      <c r="E17" s="0" t="s">
        <v>47</v>
      </c>
      <c r="F17" s="17" t="n">
        <v>0.416666666666667</v>
      </c>
      <c r="G17" s="0" t="s">
        <v>904</v>
      </c>
      <c r="H17" s="0" t="n">
        <v>3</v>
      </c>
      <c r="I17" s="0" t="s">
        <v>17</v>
      </c>
      <c r="J17" s="0" t="s">
        <v>290</v>
      </c>
    </row>
    <row r="18" customFormat="false" ht="12.5" hidden="false" customHeight="false" outlineLevel="0" collapsed="false">
      <c r="A18" s="5" t="n">
        <v>46054</v>
      </c>
      <c r="B18" s="0" t="s">
        <v>892</v>
      </c>
      <c r="C18" s="0" t="s">
        <v>895</v>
      </c>
      <c r="D18" s="0" t="s">
        <v>890</v>
      </c>
      <c r="E18" s="0" t="s">
        <v>47</v>
      </c>
      <c r="F18" s="17" t="n">
        <v>0.46875</v>
      </c>
      <c r="G18" s="0" t="s">
        <v>893</v>
      </c>
      <c r="H18" s="0" t="n">
        <v>3</v>
      </c>
      <c r="I18" s="0" t="s">
        <v>17</v>
      </c>
      <c r="J18" s="0" t="s">
        <v>290</v>
      </c>
    </row>
    <row r="19" customFormat="false" ht="12.5" hidden="false" customHeight="false" outlineLevel="0" collapsed="false">
      <c r="A19" s="5" t="n">
        <v>46054</v>
      </c>
      <c r="B19" s="0" t="s">
        <v>900</v>
      </c>
      <c r="C19" s="0" t="s">
        <v>898</v>
      </c>
      <c r="D19" s="0" t="s">
        <v>890</v>
      </c>
      <c r="E19" s="0" t="s">
        <v>47</v>
      </c>
      <c r="F19" s="17" t="n">
        <v>0.375</v>
      </c>
      <c r="G19" s="0" t="s">
        <v>901</v>
      </c>
      <c r="H19" s="0" t="n">
        <v>3</v>
      </c>
      <c r="I19" s="0" t="s">
        <v>17</v>
      </c>
      <c r="J19" s="0" t="s">
        <v>290</v>
      </c>
    </row>
    <row r="20" customFormat="false" ht="12.5" hidden="false" customHeight="false" outlineLevel="0" collapsed="false">
      <c r="A20" s="5" t="n">
        <v>46054</v>
      </c>
      <c r="B20" s="0" t="s">
        <v>528</v>
      </c>
      <c r="C20" s="0" t="s">
        <v>532</v>
      </c>
      <c r="D20" s="0" t="s">
        <v>890</v>
      </c>
      <c r="E20" s="0" t="s">
        <v>47</v>
      </c>
      <c r="F20" s="17" t="n">
        <v>0.447916666666667</v>
      </c>
      <c r="G20" s="0" t="s">
        <v>909</v>
      </c>
      <c r="H20" s="0" t="n">
        <v>3</v>
      </c>
      <c r="I20" s="0" t="s">
        <v>17</v>
      </c>
      <c r="J20" s="0" t="s">
        <v>290</v>
      </c>
    </row>
    <row r="21" customFormat="false" ht="12.5" hidden="false" customHeight="false" outlineLevel="0" collapsed="false">
      <c r="A21" s="5" t="n">
        <v>46054</v>
      </c>
      <c r="B21" s="0" t="s">
        <v>894</v>
      </c>
      <c r="C21" s="0" t="s">
        <v>903</v>
      </c>
      <c r="D21" s="0" t="s">
        <v>890</v>
      </c>
      <c r="E21" s="0" t="s">
        <v>47</v>
      </c>
      <c r="F21" s="17" t="n">
        <v>0.458333333333333</v>
      </c>
      <c r="G21" s="0" t="s">
        <v>896</v>
      </c>
      <c r="H21" s="0" t="n">
        <v>3</v>
      </c>
      <c r="I21" s="0" t="s">
        <v>17</v>
      </c>
      <c r="J21" s="0" t="s">
        <v>290</v>
      </c>
    </row>
    <row r="22" customFormat="false" ht="12.5" hidden="false" customHeight="false" outlineLevel="0" collapsed="false">
      <c r="A22" s="5" t="n">
        <v>46054</v>
      </c>
      <c r="B22" s="0" t="s">
        <v>897</v>
      </c>
      <c r="C22" s="0" t="s">
        <v>906</v>
      </c>
      <c r="D22" s="0" t="s">
        <v>890</v>
      </c>
      <c r="E22" s="0" t="s">
        <v>47</v>
      </c>
      <c r="F22" s="17" t="n">
        <v>0.46875</v>
      </c>
      <c r="G22" s="0" t="s">
        <v>899</v>
      </c>
      <c r="H22" s="0" t="n">
        <v>3</v>
      </c>
      <c r="I22" s="0" t="s">
        <v>17</v>
      </c>
      <c r="J22" s="0" t="s">
        <v>290</v>
      </c>
    </row>
    <row r="23" customFormat="false" ht="12.5" hidden="false" customHeight="false" outlineLevel="0" collapsed="false">
      <c r="A23" s="5" t="n">
        <v>46061</v>
      </c>
      <c r="B23" s="0" t="s">
        <v>905</v>
      </c>
      <c r="C23" s="0" t="s">
        <v>902</v>
      </c>
      <c r="D23" s="0" t="s">
        <v>890</v>
      </c>
      <c r="E23" s="0" t="s">
        <v>47</v>
      </c>
      <c r="F23" s="17" t="n">
        <v>0.40625</v>
      </c>
      <c r="G23" s="0" t="s">
        <v>907</v>
      </c>
      <c r="H23" s="0" t="n">
        <v>4</v>
      </c>
      <c r="I23" s="0" t="s">
        <v>17</v>
      </c>
      <c r="J23" s="0" t="s">
        <v>290</v>
      </c>
    </row>
    <row r="24" customFormat="false" ht="12.5" hidden="false" customHeight="false" outlineLevel="0" collapsed="false">
      <c r="A24" s="5" t="n">
        <v>46061</v>
      </c>
      <c r="B24" s="0" t="s">
        <v>903</v>
      </c>
      <c r="C24" s="0" t="s">
        <v>900</v>
      </c>
      <c r="D24" s="0" t="s">
        <v>890</v>
      </c>
      <c r="E24" s="0" t="s">
        <v>47</v>
      </c>
      <c r="F24" s="17" t="n">
        <v>0.416666666666667</v>
      </c>
      <c r="G24" s="0" t="s">
        <v>914</v>
      </c>
      <c r="H24" s="0" t="n">
        <v>4</v>
      </c>
      <c r="I24" s="0" t="s">
        <v>17</v>
      </c>
      <c r="J24" s="0" t="s">
        <v>290</v>
      </c>
    </row>
    <row r="25" customFormat="false" ht="12.5" hidden="false" customHeight="false" outlineLevel="0" collapsed="false">
      <c r="A25" s="5" t="n">
        <v>46060</v>
      </c>
      <c r="B25" s="0" t="s">
        <v>895</v>
      </c>
      <c r="C25" s="0" t="s">
        <v>528</v>
      </c>
      <c r="D25" s="0" t="s">
        <v>890</v>
      </c>
      <c r="E25" s="0" t="s">
        <v>47</v>
      </c>
      <c r="F25" s="17" t="n">
        <v>0.666666666666667</v>
      </c>
      <c r="G25" s="0" t="s">
        <v>910</v>
      </c>
      <c r="H25" s="0" t="n">
        <v>4</v>
      </c>
      <c r="I25" s="0" t="s">
        <v>17</v>
      </c>
      <c r="J25" s="0" t="s">
        <v>290</v>
      </c>
    </row>
    <row r="26" customFormat="false" ht="12.5" hidden="false" customHeight="false" outlineLevel="0" collapsed="false">
      <c r="A26" s="5" t="n">
        <v>46061</v>
      </c>
      <c r="B26" s="0" t="s">
        <v>898</v>
      </c>
      <c r="C26" s="0" t="s">
        <v>892</v>
      </c>
      <c r="D26" s="0" t="s">
        <v>890</v>
      </c>
      <c r="E26" s="0" t="s">
        <v>47</v>
      </c>
      <c r="F26" s="17" t="n">
        <v>0.385416666666667</v>
      </c>
      <c r="G26" s="0" t="s">
        <v>912</v>
      </c>
      <c r="H26" s="0" t="n">
        <v>4</v>
      </c>
      <c r="I26" s="0" t="s">
        <v>17</v>
      </c>
      <c r="J26" s="0" t="s">
        <v>290</v>
      </c>
    </row>
    <row r="27" customFormat="false" ht="12.5" hidden="false" customHeight="false" outlineLevel="0" collapsed="false">
      <c r="A27" s="5" t="n">
        <v>46061</v>
      </c>
      <c r="B27" s="0" t="s">
        <v>535</v>
      </c>
      <c r="C27" s="0" t="s">
        <v>532</v>
      </c>
      <c r="D27" s="0" t="s">
        <v>890</v>
      </c>
      <c r="E27" s="0" t="s">
        <v>47</v>
      </c>
      <c r="F27" s="17" t="n">
        <v>0.375</v>
      </c>
      <c r="G27" s="0" t="s">
        <v>891</v>
      </c>
      <c r="H27" s="0" t="n">
        <v>4</v>
      </c>
      <c r="I27" s="0" t="s">
        <v>17</v>
      </c>
      <c r="J27" s="0" t="s">
        <v>290</v>
      </c>
    </row>
    <row r="28" customFormat="false" ht="12.5" hidden="false" customHeight="false" outlineLevel="0" collapsed="false">
      <c r="A28" s="5" t="n">
        <v>46060</v>
      </c>
      <c r="B28" s="0" t="s">
        <v>906</v>
      </c>
      <c r="C28" s="0" t="s">
        <v>894</v>
      </c>
      <c r="D28" s="0" t="s">
        <v>890</v>
      </c>
      <c r="E28" s="0" t="s">
        <v>47</v>
      </c>
      <c r="F28" s="17" t="n">
        <v>0.708333333333333</v>
      </c>
      <c r="G28" s="0" t="s">
        <v>908</v>
      </c>
      <c r="H28" s="0" t="n">
        <v>4</v>
      </c>
      <c r="I28" s="0" t="s">
        <v>17</v>
      </c>
      <c r="J28" s="0" t="s">
        <v>290</v>
      </c>
    </row>
    <row r="29" customFormat="false" ht="12.5" hidden="false" customHeight="false" outlineLevel="0" collapsed="false">
      <c r="A29" s="5" t="n">
        <v>46061</v>
      </c>
      <c r="B29" s="0" t="s">
        <v>889</v>
      </c>
      <c r="C29" s="0" t="s">
        <v>897</v>
      </c>
      <c r="D29" s="0" t="s">
        <v>890</v>
      </c>
      <c r="E29" s="0" t="s">
        <v>47</v>
      </c>
      <c r="F29" s="17" t="n">
        <v>0.458333333333333</v>
      </c>
      <c r="G29" s="0" t="s">
        <v>913</v>
      </c>
      <c r="H29" s="0" t="n">
        <v>4</v>
      </c>
      <c r="I29" s="0" t="s">
        <v>17</v>
      </c>
      <c r="J29" s="0" t="s">
        <v>290</v>
      </c>
    </row>
    <row r="30" customFormat="false" ht="12.5" hidden="false" customHeight="false" outlineLevel="0" collapsed="false">
      <c r="A30" s="5" t="n">
        <v>46068</v>
      </c>
      <c r="B30" s="0" t="s">
        <v>902</v>
      </c>
      <c r="C30" s="0" t="s">
        <v>535</v>
      </c>
      <c r="D30" s="0" t="s">
        <v>890</v>
      </c>
      <c r="E30" s="0" t="s">
        <v>47</v>
      </c>
      <c r="F30" s="17" t="n">
        <v>0.416666666666667</v>
      </c>
      <c r="G30" s="0" t="s">
        <v>904</v>
      </c>
      <c r="H30" s="0" t="n">
        <v>5</v>
      </c>
      <c r="I30" s="0" t="s">
        <v>17</v>
      </c>
      <c r="J30" s="0" t="s">
        <v>290</v>
      </c>
    </row>
    <row r="31" customFormat="false" ht="12.5" hidden="false" customHeight="false" outlineLevel="0" collapsed="false">
      <c r="A31" s="5" t="n">
        <v>46068</v>
      </c>
      <c r="B31" s="0" t="s">
        <v>894</v>
      </c>
      <c r="C31" s="0" t="s">
        <v>889</v>
      </c>
      <c r="D31" s="0" t="s">
        <v>890</v>
      </c>
      <c r="E31" s="0" t="s">
        <v>47</v>
      </c>
      <c r="F31" s="17" t="n">
        <v>0.458333333333333</v>
      </c>
      <c r="G31" s="0" t="s">
        <v>896</v>
      </c>
      <c r="H31" s="0" t="n">
        <v>5</v>
      </c>
      <c r="I31" s="0" t="s">
        <v>17</v>
      </c>
      <c r="J31" s="0" t="s">
        <v>290</v>
      </c>
    </row>
    <row r="32" customFormat="false" ht="12.5" hidden="false" customHeight="false" outlineLevel="0" collapsed="false">
      <c r="A32" s="5" t="n">
        <v>46068</v>
      </c>
      <c r="B32" s="0" t="s">
        <v>532</v>
      </c>
      <c r="C32" s="0" t="s">
        <v>895</v>
      </c>
      <c r="D32" s="0" t="s">
        <v>890</v>
      </c>
      <c r="E32" s="0" t="s">
        <v>47</v>
      </c>
      <c r="F32" s="17" t="n">
        <v>0.416666666666667</v>
      </c>
      <c r="G32" s="0" t="s">
        <v>911</v>
      </c>
      <c r="H32" s="0" t="n">
        <v>5</v>
      </c>
      <c r="I32" s="0" t="s">
        <v>17</v>
      </c>
      <c r="J32" s="0" t="s">
        <v>290</v>
      </c>
    </row>
    <row r="33" customFormat="false" ht="12.5" hidden="false" customHeight="false" outlineLevel="0" collapsed="false">
      <c r="A33" s="5" t="n">
        <v>46068</v>
      </c>
      <c r="B33" s="0" t="s">
        <v>528</v>
      </c>
      <c r="C33" s="0" t="s">
        <v>898</v>
      </c>
      <c r="D33" s="0" t="s">
        <v>890</v>
      </c>
      <c r="E33" s="0" t="s">
        <v>47</v>
      </c>
      <c r="F33" s="17" t="n">
        <v>0.447916666666667</v>
      </c>
      <c r="G33" s="0" t="s">
        <v>909</v>
      </c>
      <c r="H33" s="0" t="n">
        <v>5</v>
      </c>
      <c r="I33" s="0" t="s">
        <v>17</v>
      </c>
      <c r="J33" s="0" t="s">
        <v>290</v>
      </c>
    </row>
    <row r="34" customFormat="false" ht="12.5" hidden="false" customHeight="false" outlineLevel="0" collapsed="false">
      <c r="A34" s="5" t="n">
        <v>46068</v>
      </c>
      <c r="B34" s="0" t="s">
        <v>897</v>
      </c>
      <c r="C34" s="0" t="s">
        <v>905</v>
      </c>
      <c r="D34" s="0" t="s">
        <v>890</v>
      </c>
      <c r="E34" s="0" t="s">
        <v>47</v>
      </c>
      <c r="F34" s="17" t="n">
        <v>0.46875</v>
      </c>
      <c r="G34" s="0" t="s">
        <v>899</v>
      </c>
      <c r="H34" s="0" t="n">
        <v>5</v>
      </c>
      <c r="I34" s="0" t="s">
        <v>17</v>
      </c>
      <c r="J34" s="0" t="s">
        <v>290</v>
      </c>
    </row>
    <row r="35" customFormat="false" ht="12.5" hidden="false" customHeight="false" outlineLevel="0" collapsed="false">
      <c r="A35" s="5" t="n">
        <v>46068</v>
      </c>
      <c r="B35" s="0" t="s">
        <v>892</v>
      </c>
      <c r="C35" s="0" t="s">
        <v>903</v>
      </c>
      <c r="D35" s="0" t="s">
        <v>890</v>
      </c>
      <c r="E35" s="0" t="s">
        <v>47</v>
      </c>
      <c r="F35" s="17" t="n">
        <v>0.46875</v>
      </c>
      <c r="G35" s="0" t="s">
        <v>893</v>
      </c>
      <c r="H35" s="0" t="n">
        <v>5</v>
      </c>
      <c r="I35" s="0" t="s">
        <v>17</v>
      </c>
      <c r="J35" s="0" t="s">
        <v>290</v>
      </c>
    </row>
    <row r="36" customFormat="false" ht="12.5" hidden="false" customHeight="false" outlineLevel="0" collapsed="false">
      <c r="A36" s="5" t="n">
        <v>46068</v>
      </c>
      <c r="B36" s="0" t="s">
        <v>900</v>
      </c>
      <c r="C36" s="0" t="s">
        <v>906</v>
      </c>
      <c r="D36" s="0" t="s">
        <v>890</v>
      </c>
      <c r="E36" s="0" t="s">
        <v>47</v>
      </c>
      <c r="F36" s="17" t="n">
        <v>0.375</v>
      </c>
      <c r="G36" s="0" t="s">
        <v>901</v>
      </c>
      <c r="H36" s="0" t="n">
        <v>5</v>
      </c>
      <c r="I36" s="0" t="s">
        <v>17</v>
      </c>
      <c r="J36" s="0" t="s">
        <v>290</v>
      </c>
    </row>
    <row r="37" customFormat="false" ht="12.5" hidden="false" customHeight="false" outlineLevel="0" collapsed="false">
      <c r="A37" s="5" t="n">
        <v>46075</v>
      </c>
      <c r="B37" s="0" t="s">
        <v>889</v>
      </c>
      <c r="C37" s="0" t="s">
        <v>900</v>
      </c>
      <c r="D37" s="0" t="s">
        <v>890</v>
      </c>
      <c r="E37" s="0" t="s">
        <v>47</v>
      </c>
      <c r="F37" s="17" t="n">
        <v>0.458333333333333</v>
      </c>
      <c r="G37" s="0" t="s">
        <v>913</v>
      </c>
      <c r="H37" s="0" t="n">
        <v>6</v>
      </c>
      <c r="I37" s="0" t="s">
        <v>17</v>
      </c>
      <c r="J37" s="0" t="s">
        <v>290</v>
      </c>
    </row>
    <row r="38" customFormat="false" ht="12.5" hidden="false" customHeight="false" outlineLevel="0" collapsed="false">
      <c r="A38" s="5" t="n">
        <v>46075</v>
      </c>
      <c r="B38" s="0" t="s">
        <v>903</v>
      </c>
      <c r="C38" s="0" t="s">
        <v>528</v>
      </c>
      <c r="D38" s="0" t="s">
        <v>890</v>
      </c>
      <c r="E38" s="0" t="s">
        <v>47</v>
      </c>
      <c r="F38" s="17" t="n">
        <v>0.416666666666667</v>
      </c>
      <c r="G38" s="0" t="s">
        <v>914</v>
      </c>
      <c r="H38" s="0" t="n">
        <v>6</v>
      </c>
      <c r="I38" s="0" t="s">
        <v>17</v>
      </c>
      <c r="J38" s="0" t="s">
        <v>290</v>
      </c>
    </row>
    <row r="39" customFormat="false" ht="12.5" hidden="false" customHeight="false" outlineLevel="0" collapsed="false">
      <c r="A39" s="5" t="n">
        <v>46075</v>
      </c>
      <c r="B39" s="0" t="s">
        <v>535</v>
      </c>
      <c r="C39" s="0" t="s">
        <v>895</v>
      </c>
      <c r="D39" s="0" t="s">
        <v>890</v>
      </c>
      <c r="E39" s="0" t="s">
        <v>47</v>
      </c>
      <c r="F39" s="17" t="n">
        <v>0.375</v>
      </c>
      <c r="G39" s="0" t="s">
        <v>891</v>
      </c>
      <c r="H39" s="0" t="n">
        <v>6</v>
      </c>
      <c r="I39" s="0" t="s">
        <v>17</v>
      </c>
      <c r="J39" s="0" t="s">
        <v>290</v>
      </c>
    </row>
    <row r="40" customFormat="false" ht="12.5" hidden="false" customHeight="false" outlineLevel="0" collapsed="false">
      <c r="A40" s="5" t="n">
        <v>46074</v>
      </c>
      <c r="B40" s="0" t="s">
        <v>906</v>
      </c>
      <c r="C40" s="0" t="s">
        <v>892</v>
      </c>
      <c r="D40" s="0" t="s">
        <v>890</v>
      </c>
      <c r="E40" s="0" t="s">
        <v>47</v>
      </c>
      <c r="F40" s="17" t="n">
        <v>0.708333333333333</v>
      </c>
      <c r="G40" s="0" t="s">
        <v>908</v>
      </c>
      <c r="H40" s="0" t="n">
        <v>6</v>
      </c>
      <c r="I40" s="0" t="s">
        <v>17</v>
      </c>
      <c r="J40" s="0" t="s">
        <v>290</v>
      </c>
    </row>
    <row r="41" customFormat="false" ht="12.5" hidden="false" customHeight="false" outlineLevel="0" collapsed="false">
      <c r="A41" s="5" t="n">
        <v>46075</v>
      </c>
      <c r="B41" s="0" t="s">
        <v>898</v>
      </c>
      <c r="C41" s="0" t="s">
        <v>532</v>
      </c>
      <c r="D41" s="0" t="s">
        <v>890</v>
      </c>
      <c r="E41" s="0" t="s">
        <v>47</v>
      </c>
      <c r="F41" s="17" t="n">
        <v>0.385416666666667</v>
      </c>
      <c r="G41" s="0" t="s">
        <v>912</v>
      </c>
      <c r="H41" s="0" t="n">
        <v>6</v>
      </c>
      <c r="I41" s="0" t="s">
        <v>17</v>
      </c>
      <c r="J41" s="0" t="s">
        <v>290</v>
      </c>
    </row>
    <row r="42" customFormat="false" ht="12.5" hidden="false" customHeight="false" outlineLevel="0" collapsed="false">
      <c r="A42" s="5" t="n">
        <v>46075</v>
      </c>
      <c r="B42" s="0" t="s">
        <v>905</v>
      </c>
      <c r="C42" s="0" t="s">
        <v>894</v>
      </c>
      <c r="D42" s="0" t="s">
        <v>890</v>
      </c>
      <c r="E42" s="0" t="s">
        <v>47</v>
      </c>
      <c r="F42" s="17" t="n">
        <v>0.40625</v>
      </c>
      <c r="G42" s="0" t="s">
        <v>907</v>
      </c>
      <c r="H42" s="0" t="n">
        <v>6</v>
      </c>
      <c r="I42" s="0" t="s">
        <v>17</v>
      </c>
      <c r="J42" s="0" t="s">
        <v>290</v>
      </c>
    </row>
    <row r="43" customFormat="false" ht="12.5" hidden="false" customHeight="false" outlineLevel="0" collapsed="false">
      <c r="A43" s="5" t="n">
        <v>46075</v>
      </c>
      <c r="B43" s="0" t="s">
        <v>902</v>
      </c>
      <c r="C43" s="0" t="s">
        <v>897</v>
      </c>
      <c r="D43" s="0" t="s">
        <v>890</v>
      </c>
      <c r="E43" s="0" t="s">
        <v>47</v>
      </c>
      <c r="F43" s="17" t="n">
        <v>0.416666666666667</v>
      </c>
      <c r="G43" s="0" t="s">
        <v>904</v>
      </c>
      <c r="H43" s="0" t="n">
        <v>6</v>
      </c>
      <c r="I43" s="0" t="s">
        <v>17</v>
      </c>
      <c r="J43" s="0" t="s">
        <v>290</v>
      </c>
    </row>
    <row r="44" customFormat="false" ht="12.5" hidden="false" customHeight="false" outlineLevel="0" collapsed="false">
      <c r="A44" s="5" t="n">
        <v>46082</v>
      </c>
      <c r="B44" s="0" t="s">
        <v>894</v>
      </c>
      <c r="C44" s="0" t="s">
        <v>902</v>
      </c>
      <c r="D44" s="0" t="s">
        <v>890</v>
      </c>
      <c r="E44" s="0" t="s">
        <v>47</v>
      </c>
      <c r="F44" s="17" t="n">
        <v>0.458333333333333</v>
      </c>
      <c r="G44" s="0" t="s">
        <v>896</v>
      </c>
      <c r="H44" s="0" t="n">
        <v>7</v>
      </c>
      <c r="I44" s="0" t="s">
        <v>17</v>
      </c>
      <c r="J44" s="0" t="s">
        <v>290</v>
      </c>
    </row>
    <row r="45" customFormat="false" ht="12.5" hidden="false" customHeight="false" outlineLevel="0" collapsed="false">
      <c r="A45" s="5" t="n">
        <v>46082</v>
      </c>
      <c r="B45" s="0" t="s">
        <v>897</v>
      </c>
      <c r="C45" s="0" t="s">
        <v>535</v>
      </c>
      <c r="D45" s="0" t="s">
        <v>890</v>
      </c>
      <c r="E45" s="0" t="s">
        <v>47</v>
      </c>
      <c r="F45" s="17" t="n">
        <v>0.46875</v>
      </c>
      <c r="G45" s="0" t="s">
        <v>899</v>
      </c>
      <c r="H45" s="0" t="n">
        <v>7</v>
      </c>
      <c r="I45" s="0" t="s">
        <v>17</v>
      </c>
      <c r="J45" s="0" t="s">
        <v>290</v>
      </c>
    </row>
    <row r="46" customFormat="false" ht="12.5" hidden="false" customHeight="false" outlineLevel="0" collapsed="false">
      <c r="A46" s="5" t="n">
        <v>46082</v>
      </c>
      <c r="B46" s="0" t="s">
        <v>892</v>
      </c>
      <c r="C46" s="0" t="s">
        <v>889</v>
      </c>
      <c r="D46" s="0" t="s">
        <v>890</v>
      </c>
      <c r="E46" s="0" t="s">
        <v>47</v>
      </c>
      <c r="F46" s="17" t="n">
        <v>0.46875</v>
      </c>
      <c r="G46" s="0" t="s">
        <v>893</v>
      </c>
      <c r="H46" s="0" t="n">
        <v>7</v>
      </c>
      <c r="I46" s="0" t="s">
        <v>17</v>
      </c>
      <c r="J46" s="0" t="s">
        <v>290</v>
      </c>
    </row>
    <row r="47" customFormat="false" ht="12.5" hidden="false" customHeight="false" outlineLevel="0" collapsed="false">
      <c r="A47" s="5" t="n">
        <v>46081</v>
      </c>
      <c r="B47" s="0" t="s">
        <v>895</v>
      </c>
      <c r="C47" s="0" t="s">
        <v>898</v>
      </c>
      <c r="D47" s="0" t="s">
        <v>890</v>
      </c>
      <c r="E47" s="0" t="s">
        <v>47</v>
      </c>
      <c r="F47" s="17" t="n">
        <v>0.666666666666667</v>
      </c>
      <c r="G47" s="0" t="s">
        <v>910</v>
      </c>
      <c r="H47" s="0" t="n">
        <v>7</v>
      </c>
      <c r="I47" s="0" t="s">
        <v>17</v>
      </c>
      <c r="J47" s="0" t="s">
        <v>290</v>
      </c>
    </row>
    <row r="48" customFormat="false" ht="12.5" hidden="false" customHeight="false" outlineLevel="0" collapsed="false">
      <c r="A48" s="5" t="n">
        <v>46082</v>
      </c>
      <c r="B48" s="0" t="s">
        <v>900</v>
      </c>
      <c r="C48" s="0" t="s">
        <v>905</v>
      </c>
      <c r="D48" s="0" t="s">
        <v>890</v>
      </c>
      <c r="E48" s="0" t="s">
        <v>47</v>
      </c>
      <c r="F48" s="17" t="n">
        <v>0.375</v>
      </c>
      <c r="G48" s="0" t="s">
        <v>901</v>
      </c>
      <c r="H48" s="0" t="n">
        <v>7</v>
      </c>
      <c r="I48" s="0" t="s">
        <v>17</v>
      </c>
      <c r="J48" s="0" t="s">
        <v>290</v>
      </c>
    </row>
    <row r="49" customFormat="false" ht="12.5" hidden="false" customHeight="false" outlineLevel="0" collapsed="false">
      <c r="A49" s="5" t="n">
        <v>46082</v>
      </c>
      <c r="B49" s="0" t="s">
        <v>532</v>
      </c>
      <c r="C49" s="0" t="s">
        <v>903</v>
      </c>
      <c r="D49" s="0" t="s">
        <v>890</v>
      </c>
      <c r="E49" s="0" t="s">
        <v>47</v>
      </c>
      <c r="F49" s="17" t="n">
        <v>0.416666666666667</v>
      </c>
      <c r="G49" s="0" t="s">
        <v>911</v>
      </c>
      <c r="H49" s="0" t="n">
        <v>7</v>
      </c>
      <c r="I49" s="0" t="s">
        <v>17</v>
      </c>
      <c r="J49" s="0" t="s">
        <v>290</v>
      </c>
    </row>
    <row r="50" customFormat="false" ht="12.5" hidden="false" customHeight="false" outlineLevel="0" collapsed="false">
      <c r="A50" s="5" t="n">
        <v>46082</v>
      </c>
      <c r="B50" s="0" t="s">
        <v>528</v>
      </c>
      <c r="C50" s="0" t="s">
        <v>906</v>
      </c>
      <c r="D50" s="0" t="s">
        <v>890</v>
      </c>
      <c r="E50" s="0" t="s">
        <v>47</v>
      </c>
      <c r="F50" s="17" t="n">
        <v>0.447916666666667</v>
      </c>
      <c r="G50" s="0" t="s">
        <v>909</v>
      </c>
      <c r="H50" s="0" t="n">
        <v>7</v>
      </c>
      <c r="I50" s="0" t="s">
        <v>17</v>
      </c>
      <c r="J50" s="0" t="s">
        <v>290</v>
      </c>
    </row>
    <row r="51" customFormat="false" ht="12.5" hidden="false" customHeight="false" outlineLevel="0" collapsed="false">
      <c r="A51" s="5" t="n">
        <v>46089</v>
      </c>
      <c r="B51" s="0" t="s">
        <v>902</v>
      </c>
      <c r="C51" s="0" t="s">
        <v>900</v>
      </c>
      <c r="D51" s="0" t="s">
        <v>890</v>
      </c>
      <c r="E51" s="0" t="s">
        <v>47</v>
      </c>
      <c r="F51" s="17" t="n">
        <v>0.416666666666667</v>
      </c>
      <c r="G51" s="0" t="s">
        <v>904</v>
      </c>
      <c r="H51" s="0" t="n">
        <v>8</v>
      </c>
      <c r="I51" s="0" t="s">
        <v>17</v>
      </c>
      <c r="J51" s="0" t="s">
        <v>290</v>
      </c>
    </row>
    <row r="52" customFormat="false" ht="12.5" hidden="false" customHeight="false" outlineLevel="0" collapsed="false">
      <c r="A52" s="5" t="n">
        <v>46089</v>
      </c>
      <c r="B52" s="0" t="s">
        <v>889</v>
      </c>
      <c r="C52" s="0" t="s">
        <v>528</v>
      </c>
      <c r="D52" s="0" t="s">
        <v>890</v>
      </c>
      <c r="E52" s="0" t="s">
        <v>47</v>
      </c>
      <c r="F52" s="17" t="n">
        <v>0.458333333333333</v>
      </c>
      <c r="G52" s="0" t="s">
        <v>913</v>
      </c>
      <c r="H52" s="0" t="n">
        <v>8</v>
      </c>
      <c r="I52" s="0" t="s">
        <v>17</v>
      </c>
      <c r="J52" s="0" t="s">
        <v>290</v>
      </c>
    </row>
    <row r="53" customFormat="false" ht="12.5" hidden="false" customHeight="false" outlineLevel="0" collapsed="false">
      <c r="A53" s="5" t="n">
        <v>46089</v>
      </c>
      <c r="B53" s="0" t="s">
        <v>903</v>
      </c>
      <c r="C53" s="0" t="s">
        <v>895</v>
      </c>
      <c r="D53" s="0" t="s">
        <v>890</v>
      </c>
      <c r="E53" s="0" t="s">
        <v>47</v>
      </c>
      <c r="F53" s="17" t="n">
        <v>0.416666666666667</v>
      </c>
      <c r="G53" s="0" t="s">
        <v>914</v>
      </c>
      <c r="H53" s="0" t="n">
        <v>8</v>
      </c>
      <c r="I53" s="0" t="s">
        <v>17</v>
      </c>
      <c r="J53" s="0" t="s">
        <v>290</v>
      </c>
    </row>
    <row r="54" customFormat="false" ht="12.5" hidden="false" customHeight="false" outlineLevel="0" collapsed="false">
      <c r="A54" s="5" t="n">
        <v>46089</v>
      </c>
      <c r="B54" s="0" t="s">
        <v>535</v>
      </c>
      <c r="C54" s="0" t="s">
        <v>898</v>
      </c>
      <c r="D54" s="0" t="s">
        <v>890</v>
      </c>
      <c r="E54" s="0" t="s">
        <v>47</v>
      </c>
      <c r="F54" s="17" t="n">
        <v>0.375</v>
      </c>
      <c r="G54" s="0" t="s">
        <v>891</v>
      </c>
      <c r="H54" s="0" t="n">
        <v>8</v>
      </c>
      <c r="I54" s="0" t="s">
        <v>17</v>
      </c>
      <c r="J54" s="0" t="s">
        <v>290</v>
      </c>
    </row>
    <row r="55" customFormat="false" ht="12.5" hidden="false" customHeight="false" outlineLevel="0" collapsed="false">
      <c r="A55" s="5" t="n">
        <v>46089</v>
      </c>
      <c r="B55" s="0" t="s">
        <v>905</v>
      </c>
      <c r="C55" s="0" t="s">
        <v>892</v>
      </c>
      <c r="D55" s="0" t="s">
        <v>890</v>
      </c>
      <c r="E55" s="0" t="s">
        <v>47</v>
      </c>
      <c r="F55" s="17" t="n">
        <v>0.40625</v>
      </c>
      <c r="G55" s="0" t="s">
        <v>907</v>
      </c>
      <c r="H55" s="0" t="n">
        <v>8</v>
      </c>
      <c r="I55" s="0" t="s">
        <v>17</v>
      </c>
      <c r="J55" s="0" t="s">
        <v>290</v>
      </c>
    </row>
    <row r="56" customFormat="false" ht="12.5" hidden="false" customHeight="false" outlineLevel="0" collapsed="false">
      <c r="A56" s="5" t="n">
        <v>46088</v>
      </c>
      <c r="B56" s="0" t="s">
        <v>906</v>
      </c>
      <c r="C56" s="0" t="s">
        <v>532</v>
      </c>
      <c r="D56" s="0" t="s">
        <v>890</v>
      </c>
      <c r="E56" s="0" t="s">
        <v>47</v>
      </c>
      <c r="F56" s="17" t="n">
        <v>0.708333333333333</v>
      </c>
      <c r="G56" s="0" t="s">
        <v>908</v>
      </c>
      <c r="H56" s="0" t="n">
        <v>8</v>
      </c>
      <c r="I56" s="0" t="s">
        <v>17</v>
      </c>
      <c r="J56" s="0" t="s">
        <v>290</v>
      </c>
    </row>
    <row r="57" customFormat="false" ht="12.5" hidden="false" customHeight="false" outlineLevel="0" collapsed="false">
      <c r="A57" s="5" t="n">
        <v>46089</v>
      </c>
      <c r="B57" s="0" t="s">
        <v>897</v>
      </c>
      <c r="C57" s="0" t="s">
        <v>894</v>
      </c>
      <c r="D57" s="0" t="s">
        <v>890</v>
      </c>
      <c r="E57" s="0" t="s">
        <v>47</v>
      </c>
      <c r="F57" s="17" t="n">
        <v>0.46875</v>
      </c>
      <c r="G57" s="0" t="s">
        <v>899</v>
      </c>
      <c r="H57" s="0" t="n">
        <v>8</v>
      </c>
      <c r="I57" s="0" t="s">
        <v>17</v>
      </c>
      <c r="J57" s="0" t="s">
        <v>290</v>
      </c>
    </row>
    <row r="58" customFormat="false" ht="12.5" hidden="false" customHeight="false" outlineLevel="0" collapsed="false">
      <c r="A58" s="5" t="n">
        <v>46096</v>
      </c>
      <c r="B58" s="0" t="s">
        <v>892</v>
      </c>
      <c r="C58" s="0" t="s">
        <v>902</v>
      </c>
      <c r="D58" s="0" t="s">
        <v>890</v>
      </c>
      <c r="E58" s="0" t="s">
        <v>47</v>
      </c>
      <c r="F58" s="17" t="n">
        <v>0.46875</v>
      </c>
      <c r="G58" s="0" t="s">
        <v>893</v>
      </c>
      <c r="H58" s="0" t="n">
        <v>9</v>
      </c>
      <c r="I58" s="0" t="s">
        <v>17</v>
      </c>
      <c r="J58" s="0" t="s">
        <v>290</v>
      </c>
    </row>
    <row r="59" customFormat="false" ht="12.5" hidden="false" customHeight="false" outlineLevel="0" collapsed="false">
      <c r="A59" s="5" t="n">
        <v>46096</v>
      </c>
      <c r="B59" s="0" t="s">
        <v>894</v>
      </c>
      <c r="C59" s="0" t="s">
        <v>535</v>
      </c>
      <c r="D59" s="0" t="s">
        <v>890</v>
      </c>
      <c r="E59" s="0" t="s">
        <v>47</v>
      </c>
      <c r="F59" s="17" t="n">
        <v>0.458333333333333</v>
      </c>
      <c r="G59" s="0" t="s">
        <v>896</v>
      </c>
      <c r="H59" s="0" t="n">
        <v>9</v>
      </c>
      <c r="I59" s="0" t="s">
        <v>17</v>
      </c>
      <c r="J59" s="0" t="s">
        <v>290</v>
      </c>
    </row>
    <row r="60" customFormat="false" ht="12.5" hidden="false" customHeight="false" outlineLevel="0" collapsed="false">
      <c r="A60" s="5" t="n">
        <v>46096</v>
      </c>
      <c r="B60" s="0" t="s">
        <v>532</v>
      </c>
      <c r="C60" s="0" t="s">
        <v>889</v>
      </c>
      <c r="D60" s="0" t="s">
        <v>890</v>
      </c>
      <c r="E60" s="0" t="s">
        <v>47</v>
      </c>
      <c r="F60" s="17" t="n">
        <v>0.416666666666667</v>
      </c>
      <c r="G60" s="0" t="s">
        <v>911</v>
      </c>
      <c r="H60" s="0" t="n">
        <v>9</v>
      </c>
      <c r="I60" s="0" t="s">
        <v>17</v>
      </c>
      <c r="J60" s="0" t="s">
        <v>290</v>
      </c>
    </row>
    <row r="61" customFormat="false" ht="12.5" hidden="false" customHeight="false" outlineLevel="0" collapsed="false">
      <c r="A61" s="5" t="n">
        <v>46096</v>
      </c>
      <c r="B61" s="0" t="s">
        <v>528</v>
      </c>
      <c r="C61" s="0" t="s">
        <v>905</v>
      </c>
      <c r="D61" s="0" t="s">
        <v>890</v>
      </c>
      <c r="E61" s="0" t="s">
        <v>47</v>
      </c>
      <c r="F61" s="17" t="n">
        <v>0.447916666666667</v>
      </c>
      <c r="G61" s="0" t="s">
        <v>909</v>
      </c>
      <c r="H61" s="0" t="n">
        <v>9</v>
      </c>
      <c r="I61" s="0" t="s">
        <v>17</v>
      </c>
      <c r="J61" s="0" t="s">
        <v>290</v>
      </c>
    </row>
    <row r="62" customFormat="false" ht="12.5" hidden="false" customHeight="false" outlineLevel="0" collapsed="false">
      <c r="A62" s="5" t="n">
        <v>46096</v>
      </c>
      <c r="B62" s="0" t="s">
        <v>898</v>
      </c>
      <c r="C62" s="0" t="s">
        <v>903</v>
      </c>
      <c r="D62" s="0" t="s">
        <v>890</v>
      </c>
      <c r="E62" s="0" t="s">
        <v>47</v>
      </c>
      <c r="F62" s="17" t="n">
        <v>0.385416666666667</v>
      </c>
      <c r="G62" s="0" t="s">
        <v>912</v>
      </c>
      <c r="H62" s="0" t="n">
        <v>9</v>
      </c>
      <c r="I62" s="0" t="s">
        <v>17</v>
      </c>
      <c r="J62" s="0" t="s">
        <v>290</v>
      </c>
    </row>
    <row r="63" customFormat="false" ht="12.5" hidden="false" customHeight="false" outlineLevel="0" collapsed="false">
      <c r="A63" s="5" t="n">
        <v>46096</v>
      </c>
      <c r="B63" s="0" t="s">
        <v>900</v>
      </c>
      <c r="C63" s="0" t="s">
        <v>897</v>
      </c>
      <c r="D63" s="0" t="s">
        <v>890</v>
      </c>
      <c r="E63" s="0" t="s">
        <v>47</v>
      </c>
      <c r="F63" s="17" t="n">
        <v>0.375</v>
      </c>
      <c r="G63" s="0" t="s">
        <v>901</v>
      </c>
      <c r="H63" s="0" t="n">
        <v>9</v>
      </c>
      <c r="I63" s="0" t="s">
        <v>17</v>
      </c>
      <c r="J63" s="0" t="s">
        <v>290</v>
      </c>
    </row>
    <row r="64" customFormat="false" ht="12.5" hidden="false" customHeight="false" outlineLevel="0" collapsed="false">
      <c r="A64" s="5" t="n">
        <v>46095</v>
      </c>
      <c r="B64" s="0" t="s">
        <v>895</v>
      </c>
      <c r="C64" s="0" t="s">
        <v>906</v>
      </c>
      <c r="D64" s="0" t="s">
        <v>890</v>
      </c>
      <c r="E64" s="0" t="s">
        <v>47</v>
      </c>
      <c r="F64" s="17" t="n">
        <v>0.666666666666667</v>
      </c>
      <c r="G64" s="0" t="s">
        <v>910</v>
      </c>
      <c r="H64" s="0" t="n">
        <v>9</v>
      </c>
      <c r="I64" s="0" t="s">
        <v>17</v>
      </c>
      <c r="J64" s="0" t="s">
        <v>290</v>
      </c>
    </row>
    <row r="65" customFormat="false" ht="12.5" hidden="false" customHeight="false" outlineLevel="0" collapsed="false">
      <c r="A65" s="5" t="n">
        <v>46103</v>
      </c>
      <c r="B65" s="0" t="s">
        <v>894</v>
      </c>
      <c r="C65" s="0" t="s">
        <v>900</v>
      </c>
      <c r="D65" s="0" t="s">
        <v>890</v>
      </c>
      <c r="E65" s="0" t="s">
        <v>47</v>
      </c>
      <c r="F65" s="17" t="n">
        <v>0.458333333333333</v>
      </c>
      <c r="G65" s="0" t="s">
        <v>896</v>
      </c>
      <c r="H65" s="0" t="n">
        <v>10</v>
      </c>
      <c r="I65" s="0" t="s">
        <v>17</v>
      </c>
      <c r="J65" s="0" t="s">
        <v>290</v>
      </c>
    </row>
    <row r="66" customFormat="false" ht="12.5" hidden="false" customHeight="false" outlineLevel="0" collapsed="false">
      <c r="A66" s="5" t="n">
        <v>46103</v>
      </c>
      <c r="B66" s="0" t="s">
        <v>902</v>
      </c>
      <c r="C66" s="0" t="s">
        <v>528</v>
      </c>
      <c r="D66" s="0" t="s">
        <v>890</v>
      </c>
      <c r="E66" s="0" t="s">
        <v>47</v>
      </c>
      <c r="F66" s="17" t="n">
        <v>0.416666666666667</v>
      </c>
      <c r="G66" s="0" t="s">
        <v>904</v>
      </c>
      <c r="H66" s="0" t="n">
        <v>10</v>
      </c>
      <c r="I66" s="0" t="s">
        <v>17</v>
      </c>
      <c r="J66" s="0" t="s">
        <v>290</v>
      </c>
    </row>
    <row r="67" customFormat="false" ht="12.5" hidden="false" customHeight="false" outlineLevel="0" collapsed="false">
      <c r="A67" s="5" t="n">
        <v>46103</v>
      </c>
      <c r="B67" s="0" t="s">
        <v>889</v>
      </c>
      <c r="C67" s="0" t="s">
        <v>895</v>
      </c>
      <c r="D67" s="0" t="s">
        <v>890</v>
      </c>
      <c r="E67" s="0" t="s">
        <v>47</v>
      </c>
      <c r="F67" s="17" t="n">
        <v>0.458333333333333</v>
      </c>
      <c r="G67" s="0" t="s">
        <v>913</v>
      </c>
      <c r="H67" s="0" t="n">
        <v>10</v>
      </c>
      <c r="I67" s="0" t="s">
        <v>17</v>
      </c>
      <c r="J67" s="0" t="s">
        <v>290</v>
      </c>
    </row>
    <row r="68" customFormat="false" ht="12.5" hidden="false" customHeight="false" outlineLevel="0" collapsed="false">
      <c r="A68" s="5" t="n">
        <v>46102</v>
      </c>
      <c r="B68" s="0" t="s">
        <v>906</v>
      </c>
      <c r="C68" s="0" t="s">
        <v>898</v>
      </c>
      <c r="D68" s="0" t="s">
        <v>890</v>
      </c>
      <c r="E68" s="0" t="s">
        <v>47</v>
      </c>
      <c r="F68" s="17" t="n">
        <v>0.708333333333333</v>
      </c>
      <c r="G68" s="0" t="s">
        <v>908</v>
      </c>
      <c r="H68" s="0" t="n">
        <v>10</v>
      </c>
      <c r="I68" s="0" t="s">
        <v>17</v>
      </c>
      <c r="J68" s="0" t="s">
        <v>290</v>
      </c>
    </row>
    <row r="69" customFormat="false" ht="12.5" hidden="false" customHeight="false" outlineLevel="0" collapsed="false">
      <c r="A69" s="5" t="n">
        <v>46103</v>
      </c>
      <c r="B69" s="0" t="s">
        <v>897</v>
      </c>
      <c r="C69" s="0" t="s">
        <v>892</v>
      </c>
      <c r="D69" s="0" t="s">
        <v>890</v>
      </c>
      <c r="E69" s="0" t="s">
        <v>47</v>
      </c>
      <c r="F69" s="17" t="n">
        <v>0.46875</v>
      </c>
      <c r="G69" s="0" t="s">
        <v>899</v>
      </c>
      <c r="H69" s="0" t="n">
        <v>10</v>
      </c>
      <c r="I69" s="0" t="s">
        <v>17</v>
      </c>
      <c r="J69" s="0" t="s">
        <v>290</v>
      </c>
    </row>
    <row r="70" customFormat="false" ht="12.5" hidden="false" customHeight="false" outlineLevel="0" collapsed="false">
      <c r="A70" s="5" t="n">
        <v>46103</v>
      </c>
      <c r="B70" s="0" t="s">
        <v>905</v>
      </c>
      <c r="C70" s="0" t="s">
        <v>532</v>
      </c>
      <c r="D70" s="0" t="s">
        <v>890</v>
      </c>
      <c r="E70" s="0" t="s">
        <v>47</v>
      </c>
      <c r="F70" s="17" t="n">
        <v>0.40625</v>
      </c>
      <c r="G70" s="0" t="s">
        <v>907</v>
      </c>
      <c r="H70" s="0" t="n">
        <v>10</v>
      </c>
      <c r="I70" s="0" t="s">
        <v>17</v>
      </c>
      <c r="J70" s="0" t="s">
        <v>290</v>
      </c>
    </row>
    <row r="71" customFormat="false" ht="12.5" hidden="false" customHeight="false" outlineLevel="0" collapsed="false">
      <c r="A71" s="5" t="n">
        <v>46103</v>
      </c>
      <c r="B71" s="0" t="s">
        <v>535</v>
      </c>
      <c r="C71" s="0" t="s">
        <v>903</v>
      </c>
      <c r="D71" s="0" t="s">
        <v>890</v>
      </c>
      <c r="E71" s="0" t="s">
        <v>47</v>
      </c>
      <c r="F71" s="17" t="n">
        <v>0.375</v>
      </c>
      <c r="G71" s="0" t="s">
        <v>891</v>
      </c>
      <c r="H71" s="0" t="n">
        <v>10</v>
      </c>
      <c r="I71" s="0" t="s">
        <v>17</v>
      </c>
      <c r="J71" s="0" t="s">
        <v>290</v>
      </c>
    </row>
    <row r="72" customFormat="false" ht="12.5" hidden="false" customHeight="false" outlineLevel="0" collapsed="false">
      <c r="A72" s="5" t="n">
        <v>46110</v>
      </c>
      <c r="B72" s="0" t="s">
        <v>532</v>
      </c>
      <c r="C72" s="0" t="s">
        <v>902</v>
      </c>
      <c r="D72" s="0" t="s">
        <v>890</v>
      </c>
      <c r="E72" s="0" t="s">
        <v>47</v>
      </c>
      <c r="F72" s="17" t="n">
        <v>0.416666666666667</v>
      </c>
      <c r="G72" s="0" t="s">
        <v>911</v>
      </c>
      <c r="H72" s="0" t="n">
        <v>11</v>
      </c>
      <c r="I72" s="0" t="s">
        <v>17</v>
      </c>
      <c r="J72" s="0" t="s">
        <v>290</v>
      </c>
    </row>
    <row r="73" customFormat="false" ht="12.5" hidden="false" customHeight="false" outlineLevel="0" collapsed="false">
      <c r="A73" s="5" t="n">
        <v>46110</v>
      </c>
      <c r="B73" s="0" t="s">
        <v>900</v>
      </c>
      <c r="C73" s="0" t="s">
        <v>535</v>
      </c>
      <c r="D73" s="0" t="s">
        <v>890</v>
      </c>
      <c r="E73" s="0" t="s">
        <v>47</v>
      </c>
      <c r="F73" s="17" t="n">
        <v>0.375</v>
      </c>
      <c r="G73" s="0" t="s">
        <v>901</v>
      </c>
      <c r="H73" s="0" t="n">
        <v>11</v>
      </c>
      <c r="I73" s="0" t="s">
        <v>17</v>
      </c>
      <c r="J73" s="0" t="s">
        <v>290</v>
      </c>
    </row>
    <row r="74" customFormat="false" ht="12.5" hidden="false" customHeight="false" outlineLevel="0" collapsed="false">
      <c r="A74" s="5" t="n">
        <v>46110</v>
      </c>
      <c r="B74" s="0" t="s">
        <v>898</v>
      </c>
      <c r="C74" s="0" t="s">
        <v>889</v>
      </c>
      <c r="D74" s="0" t="s">
        <v>890</v>
      </c>
      <c r="E74" s="0" t="s">
        <v>47</v>
      </c>
      <c r="F74" s="17" t="n">
        <v>0.385416666666667</v>
      </c>
      <c r="G74" s="0" t="s">
        <v>912</v>
      </c>
      <c r="H74" s="0" t="n">
        <v>11</v>
      </c>
      <c r="I74" s="0" t="s">
        <v>17</v>
      </c>
      <c r="J74" s="0" t="s">
        <v>290</v>
      </c>
    </row>
    <row r="75" customFormat="false" ht="12.5" hidden="false" customHeight="false" outlineLevel="0" collapsed="false">
      <c r="A75" s="5" t="n">
        <v>46110</v>
      </c>
      <c r="B75" s="0" t="s">
        <v>892</v>
      </c>
      <c r="C75" s="0" t="s">
        <v>894</v>
      </c>
      <c r="D75" s="0" t="s">
        <v>890</v>
      </c>
      <c r="E75" s="0" t="s">
        <v>47</v>
      </c>
      <c r="F75" s="17" t="n">
        <v>0.46875</v>
      </c>
      <c r="G75" s="0" t="s">
        <v>893</v>
      </c>
      <c r="H75" s="0" t="n">
        <v>11</v>
      </c>
      <c r="I75" s="0" t="s">
        <v>17</v>
      </c>
      <c r="J75" s="0" t="s">
        <v>290</v>
      </c>
    </row>
    <row r="76" customFormat="false" ht="12.5" hidden="false" customHeight="false" outlineLevel="0" collapsed="false">
      <c r="A76" s="5" t="n">
        <v>46109</v>
      </c>
      <c r="B76" s="0" t="s">
        <v>895</v>
      </c>
      <c r="C76" s="0" t="s">
        <v>905</v>
      </c>
      <c r="D76" s="0" t="s">
        <v>890</v>
      </c>
      <c r="E76" s="0" t="s">
        <v>47</v>
      </c>
      <c r="F76" s="17" t="n">
        <v>0.666666666666667</v>
      </c>
      <c r="G76" s="0" t="s">
        <v>910</v>
      </c>
      <c r="H76" s="0" t="n">
        <v>11</v>
      </c>
      <c r="I76" s="0" t="s">
        <v>17</v>
      </c>
      <c r="J76" s="0" t="s">
        <v>290</v>
      </c>
    </row>
    <row r="77" customFormat="false" ht="12.5" hidden="false" customHeight="false" outlineLevel="0" collapsed="false">
      <c r="A77" s="5" t="n">
        <v>46110</v>
      </c>
      <c r="B77" s="0" t="s">
        <v>528</v>
      </c>
      <c r="C77" s="0" t="s">
        <v>897</v>
      </c>
      <c r="D77" s="0" t="s">
        <v>890</v>
      </c>
      <c r="E77" s="0" t="s">
        <v>47</v>
      </c>
      <c r="F77" s="17" t="n">
        <v>0.447916666666667</v>
      </c>
      <c r="G77" s="0" t="s">
        <v>909</v>
      </c>
      <c r="H77" s="0" t="n">
        <v>11</v>
      </c>
      <c r="I77" s="0" t="s">
        <v>17</v>
      </c>
      <c r="J77" s="0" t="s">
        <v>290</v>
      </c>
    </row>
    <row r="78" customFormat="false" ht="12.5" hidden="false" customHeight="false" outlineLevel="0" collapsed="false">
      <c r="A78" s="5" t="n">
        <v>46110</v>
      </c>
      <c r="B78" s="0" t="s">
        <v>903</v>
      </c>
      <c r="C78" s="0" t="s">
        <v>906</v>
      </c>
      <c r="D78" s="0" t="s">
        <v>890</v>
      </c>
      <c r="E78" s="0" t="s">
        <v>47</v>
      </c>
      <c r="F78" s="17" t="n">
        <v>0.416666666666667</v>
      </c>
      <c r="G78" s="0" t="s">
        <v>914</v>
      </c>
      <c r="H78" s="0" t="n">
        <v>11</v>
      </c>
      <c r="I78" s="0" t="s">
        <v>17</v>
      </c>
      <c r="J78" s="0" t="s">
        <v>290</v>
      </c>
    </row>
    <row r="79" customFormat="false" ht="12.5" hidden="false" customHeight="false" outlineLevel="0" collapsed="false">
      <c r="A79" s="5" t="n">
        <v>46124</v>
      </c>
      <c r="B79" s="0" t="s">
        <v>894</v>
      </c>
      <c r="C79" s="0" t="s">
        <v>528</v>
      </c>
      <c r="D79" s="0" t="s">
        <v>890</v>
      </c>
      <c r="E79" s="0" t="s">
        <v>47</v>
      </c>
      <c r="F79" s="17" t="n">
        <v>0.458333333333333</v>
      </c>
      <c r="G79" s="0" t="s">
        <v>896</v>
      </c>
      <c r="H79" s="0" t="n">
        <v>12</v>
      </c>
      <c r="I79" s="0" t="s">
        <v>17</v>
      </c>
      <c r="J79" s="0" t="s">
        <v>290</v>
      </c>
    </row>
    <row r="80" customFormat="false" ht="12.5" hidden="false" customHeight="false" outlineLevel="0" collapsed="false">
      <c r="A80" s="5" t="n">
        <v>46124</v>
      </c>
      <c r="B80" s="0" t="s">
        <v>902</v>
      </c>
      <c r="C80" s="0" t="s">
        <v>895</v>
      </c>
      <c r="D80" s="0" t="s">
        <v>890</v>
      </c>
      <c r="E80" s="0" t="s">
        <v>47</v>
      </c>
      <c r="F80" s="17" t="n">
        <v>0.416666666666667</v>
      </c>
      <c r="G80" s="0" t="s">
        <v>904</v>
      </c>
      <c r="H80" s="0" t="n">
        <v>12</v>
      </c>
      <c r="I80" s="0" t="s">
        <v>17</v>
      </c>
      <c r="J80" s="0" t="s">
        <v>290</v>
      </c>
    </row>
    <row r="81" customFormat="false" ht="12.5" hidden="false" customHeight="false" outlineLevel="0" collapsed="false">
      <c r="A81" s="5" t="n">
        <v>46124</v>
      </c>
      <c r="B81" s="0" t="s">
        <v>905</v>
      </c>
      <c r="C81" s="0" t="s">
        <v>898</v>
      </c>
      <c r="D81" s="0" t="s">
        <v>890</v>
      </c>
      <c r="E81" s="0" t="s">
        <v>47</v>
      </c>
      <c r="F81" s="17" t="n">
        <v>0.40625</v>
      </c>
      <c r="G81" s="0" t="s">
        <v>907</v>
      </c>
      <c r="H81" s="0" t="n">
        <v>12</v>
      </c>
      <c r="I81" s="0" t="s">
        <v>17</v>
      </c>
      <c r="J81" s="0" t="s">
        <v>290</v>
      </c>
    </row>
    <row r="82" customFormat="false" ht="12.5" hidden="false" customHeight="false" outlineLevel="0" collapsed="false">
      <c r="A82" s="5" t="n">
        <v>46124</v>
      </c>
      <c r="B82" s="0" t="s">
        <v>900</v>
      </c>
      <c r="C82" s="0" t="s">
        <v>892</v>
      </c>
      <c r="D82" s="0" t="s">
        <v>890</v>
      </c>
      <c r="E82" s="0" t="s">
        <v>47</v>
      </c>
      <c r="F82" s="17" t="n">
        <v>0.375</v>
      </c>
      <c r="G82" s="0" t="s">
        <v>901</v>
      </c>
      <c r="H82" s="0" t="n">
        <v>12</v>
      </c>
      <c r="I82" s="0" t="s">
        <v>17</v>
      </c>
      <c r="J82" s="0" t="s">
        <v>290</v>
      </c>
    </row>
    <row r="83" customFormat="false" ht="12.5" hidden="false" customHeight="false" outlineLevel="0" collapsed="false">
      <c r="A83" s="5" t="n">
        <v>46124</v>
      </c>
      <c r="B83" s="0" t="s">
        <v>897</v>
      </c>
      <c r="C83" s="0" t="s">
        <v>532</v>
      </c>
      <c r="D83" s="0" t="s">
        <v>890</v>
      </c>
      <c r="E83" s="0" t="s">
        <v>47</v>
      </c>
      <c r="F83" s="17" t="n">
        <v>0.46875</v>
      </c>
      <c r="G83" s="0" t="s">
        <v>899</v>
      </c>
      <c r="H83" s="0" t="n">
        <v>12</v>
      </c>
      <c r="I83" s="0" t="s">
        <v>17</v>
      </c>
      <c r="J83" s="0" t="s">
        <v>290</v>
      </c>
    </row>
    <row r="84" customFormat="false" ht="12.5" hidden="false" customHeight="false" outlineLevel="0" collapsed="false">
      <c r="A84" s="5" t="n">
        <v>46124</v>
      </c>
      <c r="B84" s="0" t="s">
        <v>889</v>
      </c>
      <c r="C84" s="0" t="s">
        <v>903</v>
      </c>
      <c r="D84" s="0" t="s">
        <v>890</v>
      </c>
      <c r="E84" s="0" t="s">
        <v>47</v>
      </c>
      <c r="F84" s="17" t="n">
        <v>0.458333333333333</v>
      </c>
      <c r="G84" s="0" t="s">
        <v>913</v>
      </c>
      <c r="H84" s="0" t="n">
        <v>12</v>
      </c>
      <c r="I84" s="0" t="s">
        <v>17</v>
      </c>
      <c r="J84" s="0" t="s">
        <v>290</v>
      </c>
    </row>
    <row r="85" customFormat="false" ht="12.5" hidden="false" customHeight="false" outlineLevel="0" collapsed="false">
      <c r="A85" s="5" t="n">
        <v>46124</v>
      </c>
      <c r="B85" s="0" t="s">
        <v>535</v>
      </c>
      <c r="C85" s="0" t="s">
        <v>906</v>
      </c>
      <c r="D85" s="0" t="s">
        <v>890</v>
      </c>
      <c r="E85" s="0" t="s">
        <v>47</v>
      </c>
      <c r="F85" s="17" t="n">
        <v>0.375</v>
      </c>
      <c r="G85" s="0" t="s">
        <v>891</v>
      </c>
      <c r="H85" s="0" t="n">
        <v>12</v>
      </c>
      <c r="I85" s="0" t="s">
        <v>17</v>
      </c>
      <c r="J85" s="0" t="s">
        <v>290</v>
      </c>
    </row>
    <row r="86" customFormat="false" ht="12.5" hidden="false" customHeight="false" outlineLevel="0" collapsed="false">
      <c r="A86" s="5" t="n">
        <v>46131</v>
      </c>
      <c r="B86" s="0" t="s">
        <v>898</v>
      </c>
      <c r="C86" s="0" t="s">
        <v>902</v>
      </c>
      <c r="D86" s="0" t="s">
        <v>890</v>
      </c>
      <c r="E86" s="0" t="s">
        <v>47</v>
      </c>
      <c r="F86" s="17" t="n">
        <v>0.385416666666667</v>
      </c>
      <c r="G86" s="0" t="s">
        <v>912</v>
      </c>
      <c r="H86" s="0" t="n">
        <v>13</v>
      </c>
      <c r="I86" s="0" t="s">
        <v>17</v>
      </c>
      <c r="J86" s="0" t="s">
        <v>290</v>
      </c>
    </row>
    <row r="87" customFormat="false" ht="12.5" hidden="false" customHeight="false" outlineLevel="0" collapsed="false">
      <c r="A87" s="5" t="n">
        <v>46131</v>
      </c>
      <c r="B87" s="0" t="s">
        <v>892</v>
      </c>
      <c r="C87" s="0" t="s">
        <v>535</v>
      </c>
      <c r="D87" s="0" t="s">
        <v>890</v>
      </c>
      <c r="E87" s="0" t="s">
        <v>47</v>
      </c>
      <c r="F87" s="17" t="n">
        <v>0.46875</v>
      </c>
      <c r="G87" s="0" t="s">
        <v>893</v>
      </c>
      <c r="H87" s="0" t="n">
        <v>13</v>
      </c>
      <c r="I87" s="0" t="s">
        <v>17</v>
      </c>
      <c r="J87" s="0" t="s">
        <v>290</v>
      </c>
    </row>
    <row r="88" customFormat="false" ht="12.5" hidden="false" customHeight="false" outlineLevel="0" collapsed="false">
      <c r="A88" s="5" t="n">
        <v>46131</v>
      </c>
      <c r="B88" s="0" t="s">
        <v>528</v>
      </c>
      <c r="C88" s="0" t="s">
        <v>900</v>
      </c>
      <c r="D88" s="0" t="s">
        <v>890</v>
      </c>
      <c r="E88" s="0" t="s">
        <v>47</v>
      </c>
      <c r="F88" s="17" t="n">
        <v>0.447916666666667</v>
      </c>
      <c r="G88" s="0" t="s">
        <v>909</v>
      </c>
      <c r="H88" s="0" t="n">
        <v>13</v>
      </c>
      <c r="I88" s="0" t="s">
        <v>17</v>
      </c>
      <c r="J88" s="0" t="s">
        <v>290</v>
      </c>
    </row>
    <row r="89" customFormat="false" ht="12.5" hidden="false" customHeight="false" outlineLevel="0" collapsed="false">
      <c r="A89" s="5" t="n">
        <v>46130</v>
      </c>
      <c r="B89" s="0" t="s">
        <v>906</v>
      </c>
      <c r="C89" s="0" t="s">
        <v>889</v>
      </c>
      <c r="D89" s="0" t="s">
        <v>890</v>
      </c>
      <c r="E89" s="0" t="s">
        <v>47</v>
      </c>
      <c r="F89" s="17" t="n">
        <v>0.708333333333333</v>
      </c>
      <c r="G89" s="0" t="s">
        <v>908</v>
      </c>
      <c r="H89" s="0" t="n">
        <v>13</v>
      </c>
      <c r="I89" s="0" t="s">
        <v>17</v>
      </c>
      <c r="J89" s="0" t="s">
        <v>290</v>
      </c>
    </row>
    <row r="90" customFormat="false" ht="12.5" hidden="false" customHeight="false" outlineLevel="0" collapsed="false">
      <c r="A90" s="5" t="n">
        <v>46131</v>
      </c>
      <c r="B90" s="0" t="s">
        <v>532</v>
      </c>
      <c r="C90" s="0" t="s">
        <v>894</v>
      </c>
      <c r="D90" s="0" t="s">
        <v>890</v>
      </c>
      <c r="E90" s="0" t="s">
        <v>47</v>
      </c>
      <c r="F90" s="17" t="n">
        <v>0.416666666666667</v>
      </c>
      <c r="G90" s="0" t="s">
        <v>911</v>
      </c>
      <c r="H90" s="0" t="n">
        <v>13</v>
      </c>
      <c r="I90" s="0" t="s">
        <v>17</v>
      </c>
      <c r="J90" s="0" t="s">
        <v>290</v>
      </c>
    </row>
    <row r="91" customFormat="false" ht="12.5" hidden="false" customHeight="false" outlineLevel="0" collapsed="false">
      <c r="A91" s="5" t="n">
        <v>46131</v>
      </c>
      <c r="B91" s="0" t="s">
        <v>903</v>
      </c>
      <c r="C91" s="0" t="s">
        <v>905</v>
      </c>
      <c r="D91" s="0" t="s">
        <v>890</v>
      </c>
      <c r="E91" s="0" t="s">
        <v>47</v>
      </c>
      <c r="F91" s="17" t="n">
        <v>0.416666666666667</v>
      </c>
      <c r="G91" s="0" t="s">
        <v>914</v>
      </c>
      <c r="H91" s="0" t="n">
        <v>13</v>
      </c>
      <c r="I91" s="0" t="s">
        <v>17</v>
      </c>
      <c r="J91" s="0" t="s">
        <v>290</v>
      </c>
    </row>
    <row r="92" customFormat="false" ht="12.5" hidden="false" customHeight="false" outlineLevel="0" collapsed="false">
      <c r="A92" s="5" t="n">
        <v>46130</v>
      </c>
      <c r="B92" s="0" t="s">
        <v>895</v>
      </c>
      <c r="C92" s="0" t="s">
        <v>897</v>
      </c>
      <c r="D92" s="0" t="s">
        <v>890</v>
      </c>
      <c r="E92" s="0" t="s">
        <v>47</v>
      </c>
      <c r="F92" s="17" t="n">
        <v>0.666666666666667</v>
      </c>
      <c r="G92" s="0" t="s">
        <v>910</v>
      </c>
      <c r="H92" s="0" t="n">
        <v>13</v>
      </c>
      <c r="I92" s="0" t="s">
        <v>17</v>
      </c>
      <c r="J92" s="0" t="s">
        <v>290</v>
      </c>
    </row>
    <row r="93" customFormat="false" ht="12.5" hidden="false" customHeight="false" outlineLevel="0" collapsed="false">
      <c r="A93" s="5" t="n">
        <v>46040</v>
      </c>
      <c r="B93" s="0" t="s">
        <v>915</v>
      </c>
      <c r="C93" s="0" t="s">
        <v>916</v>
      </c>
      <c r="D93" s="0" t="s">
        <v>890</v>
      </c>
      <c r="E93" s="0" t="s">
        <v>408</v>
      </c>
      <c r="F93" s="17" t="n">
        <v>0.416666666666667</v>
      </c>
      <c r="G93" s="0" t="s">
        <v>917</v>
      </c>
      <c r="H93" s="0" t="n">
        <v>14</v>
      </c>
      <c r="I93" s="0" t="s">
        <v>17</v>
      </c>
      <c r="J93" s="0" t="s">
        <v>290</v>
      </c>
    </row>
    <row r="94" customFormat="false" ht="12.5" hidden="false" customHeight="false" outlineLevel="0" collapsed="false">
      <c r="A94" s="5" t="n">
        <v>46040</v>
      </c>
      <c r="B94" s="0" t="s">
        <v>208</v>
      </c>
      <c r="C94" s="0" t="s">
        <v>918</v>
      </c>
      <c r="D94" s="0" t="s">
        <v>890</v>
      </c>
      <c r="E94" s="0" t="s">
        <v>408</v>
      </c>
      <c r="F94" s="17" t="n">
        <v>0.416666666666667</v>
      </c>
      <c r="G94" s="0" t="s">
        <v>919</v>
      </c>
      <c r="H94" s="0" t="n">
        <v>14</v>
      </c>
      <c r="I94" s="0" t="s">
        <v>17</v>
      </c>
      <c r="J94" s="0" t="s">
        <v>290</v>
      </c>
    </row>
    <row r="95" customFormat="false" ht="12.5" hidden="false" customHeight="false" outlineLevel="0" collapsed="false">
      <c r="A95" s="5" t="n">
        <v>46040</v>
      </c>
      <c r="B95" s="0" t="s">
        <v>223</v>
      </c>
      <c r="C95" s="0" t="s">
        <v>920</v>
      </c>
      <c r="D95" s="0" t="s">
        <v>890</v>
      </c>
      <c r="E95" s="0" t="s">
        <v>408</v>
      </c>
      <c r="F95" s="17" t="n">
        <v>0.416666666666667</v>
      </c>
      <c r="G95" s="0" t="s">
        <v>921</v>
      </c>
      <c r="H95" s="0" t="n">
        <v>14</v>
      </c>
      <c r="I95" s="0" t="s">
        <v>17</v>
      </c>
      <c r="J95" s="0" t="s">
        <v>290</v>
      </c>
    </row>
    <row r="96" customFormat="false" ht="12.5" hidden="false" customHeight="false" outlineLevel="0" collapsed="false">
      <c r="A96" s="5" t="n">
        <v>46040</v>
      </c>
      <c r="B96" s="0" t="s">
        <v>200</v>
      </c>
      <c r="C96" s="0" t="s">
        <v>536</v>
      </c>
      <c r="D96" s="0" t="s">
        <v>890</v>
      </c>
      <c r="E96" s="0" t="s">
        <v>408</v>
      </c>
      <c r="F96" s="17" t="n">
        <v>0.416666666666667</v>
      </c>
      <c r="G96" s="0" t="s">
        <v>922</v>
      </c>
      <c r="H96" s="0" t="n">
        <v>14</v>
      </c>
      <c r="I96" s="0" t="s">
        <v>17</v>
      </c>
      <c r="J96" s="0" t="s">
        <v>290</v>
      </c>
    </row>
    <row r="97" customFormat="false" ht="12.5" hidden="false" customHeight="false" outlineLevel="0" collapsed="false">
      <c r="A97" s="5" t="n">
        <v>46040</v>
      </c>
      <c r="B97" s="0" t="s">
        <v>923</v>
      </c>
      <c r="C97" s="0" t="s">
        <v>924</v>
      </c>
      <c r="D97" s="0" t="s">
        <v>890</v>
      </c>
      <c r="E97" s="0" t="s">
        <v>408</v>
      </c>
      <c r="F97" s="17" t="n">
        <v>0.416666666666667</v>
      </c>
      <c r="G97" s="0" t="s">
        <v>925</v>
      </c>
      <c r="H97" s="0" t="n">
        <v>14</v>
      </c>
      <c r="I97" s="0" t="s">
        <v>17</v>
      </c>
      <c r="J97" s="0" t="s">
        <v>290</v>
      </c>
    </row>
    <row r="98" customFormat="false" ht="12.5" hidden="false" customHeight="false" outlineLevel="0" collapsed="false">
      <c r="A98" s="5" t="n">
        <v>46040</v>
      </c>
      <c r="B98" s="0" t="s">
        <v>926</v>
      </c>
      <c r="C98" s="0" t="s">
        <v>530</v>
      </c>
      <c r="D98" s="0" t="s">
        <v>890</v>
      </c>
      <c r="E98" s="0" t="s">
        <v>408</v>
      </c>
      <c r="F98" s="17" t="n">
        <v>0.416666666666667</v>
      </c>
      <c r="G98" s="0" t="s">
        <v>927</v>
      </c>
      <c r="H98" s="0" t="n">
        <v>14</v>
      </c>
      <c r="I98" s="0" t="s">
        <v>17</v>
      </c>
      <c r="J98" s="0" t="s">
        <v>290</v>
      </c>
    </row>
    <row r="99" customFormat="false" ht="12.5" hidden="false" customHeight="false" outlineLevel="0" collapsed="false">
      <c r="A99" s="5" t="n">
        <v>46046</v>
      </c>
      <c r="B99" s="0" t="s">
        <v>536</v>
      </c>
      <c r="C99" s="0" t="s">
        <v>223</v>
      </c>
      <c r="D99" s="0" t="s">
        <v>890</v>
      </c>
      <c r="E99" s="0" t="s">
        <v>408</v>
      </c>
      <c r="F99" s="17" t="n">
        <v>0.6875</v>
      </c>
      <c r="G99" s="0" t="s">
        <v>928</v>
      </c>
      <c r="H99" s="0" t="n">
        <v>15</v>
      </c>
      <c r="I99" s="0" t="s">
        <v>17</v>
      </c>
      <c r="J99" s="0" t="s">
        <v>290</v>
      </c>
    </row>
    <row r="100" customFormat="false" ht="12.5" hidden="false" customHeight="false" outlineLevel="0" collapsed="false">
      <c r="A100" s="5" t="n">
        <v>46047</v>
      </c>
      <c r="B100" s="0" t="s">
        <v>929</v>
      </c>
      <c r="C100" s="0" t="s">
        <v>924</v>
      </c>
      <c r="D100" s="0" t="s">
        <v>890</v>
      </c>
      <c r="E100" s="0" t="s">
        <v>408</v>
      </c>
      <c r="F100" s="17" t="n">
        <v>0.416666666666667</v>
      </c>
      <c r="G100" s="0" t="s">
        <v>930</v>
      </c>
      <c r="H100" s="0" t="n">
        <v>15</v>
      </c>
      <c r="I100" s="0" t="s">
        <v>17</v>
      </c>
      <c r="J100" s="0" t="s">
        <v>290</v>
      </c>
    </row>
    <row r="101" customFormat="false" ht="12.5" hidden="false" customHeight="false" outlineLevel="0" collapsed="false">
      <c r="A101" s="5" t="n">
        <v>46047</v>
      </c>
      <c r="B101" s="0" t="s">
        <v>916</v>
      </c>
      <c r="C101" s="0" t="s">
        <v>208</v>
      </c>
      <c r="D101" s="0" t="s">
        <v>890</v>
      </c>
      <c r="E101" s="0" t="s">
        <v>408</v>
      </c>
      <c r="F101" s="17" t="n">
        <v>0.416666666666667</v>
      </c>
      <c r="G101" s="0" t="s">
        <v>931</v>
      </c>
      <c r="H101" s="0" t="n">
        <v>15</v>
      </c>
      <c r="I101" s="0" t="s">
        <v>17</v>
      </c>
      <c r="J101" s="0" t="s">
        <v>290</v>
      </c>
    </row>
    <row r="102" customFormat="false" ht="12.5" hidden="false" customHeight="false" outlineLevel="0" collapsed="false">
      <c r="A102" s="5" t="n">
        <v>46047</v>
      </c>
      <c r="B102" s="0" t="s">
        <v>530</v>
      </c>
      <c r="C102" s="0" t="s">
        <v>923</v>
      </c>
      <c r="D102" s="0" t="s">
        <v>890</v>
      </c>
      <c r="E102" s="0" t="s">
        <v>408</v>
      </c>
      <c r="F102" s="17" t="n">
        <v>0.4375</v>
      </c>
      <c r="G102" s="0" t="s">
        <v>932</v>
      </c>
      <c r="H102" s="0" t="n">
        <v>15</v>
      </c>
      <c r="I102" s="0" t="s">
        <v>17</v>
      </c>
      <c r="J102" s="0" t="s">
        <v>290</v>
      </c>
    </row>
    <row r="103" customFormat="false" ht="12.5" hidden="false" customHeight="false" outlineLevel="0" collapsed="false">
      <c r="A103" s="5" t="n">
        <v>46047</v>
      </c>
      <c r="B103" s="0" t="s">
        <v>918</v>
      </c>
      <c r="C103" s="0" t="s">
        <v>200</v>
      </c>
      <c r="D103" s="0" t="s">
        <v>890</v>
      </c>
      <c r="E103" s="0" t="s">
        <v>408</v>
      </c>
      <c r="F103" s="17" t="n">
        <v>0.4375</v>
      </c>
      <c r="G103" s="0" t="s">
        <v>933</v>
      </c>
      <c r="H103" s="0" t="n">
        <v>15</v>
      </c>
      <c r="I103" s="0" t="s">
        <v>17</v>
      </c>
      <c r="J103" s="0" t="s">
        <v>290</v>
      </c>
    </row>
    <row r="104" customFormat="false" ht="12.5" hidden="false" customHeight="false" outlineLevel="0" collapsed="false">
      <c r="A104" s="5" t="n">
        <v>46047</v>
      </c>
      <c r="B104" s="0" t="s">
        <v>920</v>
      </c>
      <c r="C104" s="0" t="s">
        <v>926</v>
      </c>
      <c r="D104" s="0" t="s">
        <v>890</v>
      </c>
      <c r="E104" s="0" t="s">
        <v>408</v>
      </c>
      <c r="F104" s="17" t="n">
        <v>0.4375</v>
      </c>
      <c r="G104" s="0" t="s">
        <v>934</v>
      </c>
      <c r="H104" s="0" t="n">
        <v>15</v>
      </c>
      <c r="I104" s="0" t="s">
        <v>17</v>
      </c>
      <c r="J104" s="0" t="s">
        <v>290</v>
      </c>
    </row>
    <row r="105" customFormat="false" ht="12.5" hidden="false" customHeight="false" outlineLevel="0" collapsed="false">
      <c r="A105" s="5" t="n">
        <v>46053</v>
      </c>
      <c r="B105" s="0" t="s">
        <v>536</v>
      </c>
      <c r="C105" s="0" t="s">
        <v>915</v>
      </c>
      <c r="D105" s="0" t="s">
        <v>890</v>
      </c>
      <c r="E105" s="0" t="s">
        <v>408</v>
      </c>
      <c r="F105" s="17" t="n">
        <v>0.6875</v>
      </c>
      <c r="G105" s="0" t="s">
        <v>928</v>
      </c>
      <c r="H105" s="0" t="n">
        <v>16</v>
      </c>
      <c r="I105" s="0" t="s">
        <v>17</v>
      </c>
      <c r="J105" s="0" t="s">
        <v>290</v>
      </c>
    </row>
    <row r="106" customFormat="false" ht="12.5" hidden="false" customHeight="false" outlineLevel="0" collapsed="false">
      <c r="A106" s="5" t="n">
        <v>46054</v>
      </c>
      <c r="B106" s="0" t="s">
        <v>929</v>
      </c>
      <c r="C106" s="0" t="s">
        <v>530</v>
      </c>
      <c r="D106" s="0" t="s">
        <v>890</v>
      </c>
      <c r="E106" s="0" t="s">
        <v>408</v>
      </c>
      <c r="F106" s="17" t="n">
        <v>0.416666666666667</v>
      </c>
      <c r="G106" s="0" t="s">
        <v>930</v>
      </c>
      <c r="H106" s="0" t="n">
        <v>16</v>
      </c>
      <c r="I106" s="0" t="s">
        <v>17</v>
      </c>
      <c r="J106" s="0" t="s">
        <v>290</v>
      </c>
    </row>
    <row r="107" customFormat="false" ht="12.5" hidden="false" customHeight="false" outlineLevel="0" collapsed="false">
      <c r="A107" s="5" t="n">
        <v>46054</v>
      </c>
      <c r="B107" s="0" t="s">
        <v>208</v>
      </c>
      <c r="C107" s="0" t="s">
        <v>929</v>
      </c>
      <c r="D107" s="0" t="s">
        <v>890</v>
      </c>
      <c r="E107" s="0" t="s">
        <v>408</v>
      </c>
      <c r="F107" s="17" t="n">
        <v>0.416666666666667</v>
      </c>
      <c r="G107" s="0" t="s">
        <v>919</v>
      </c>
      <c r="H107" s="0" t="n">
        <v>16</v>
      </c>
      <c r="I107" s="0" t="s">
        <v>17</v>
      </c>
      <c r="J107" s="0" t="s">
        <v>290</v>
      </c>
    </row>
    <row r="108" customFormat="false" ht="12.5" hidden="false" customHeight="false" outlineLevel="0" collapsed="false">
      <c r="A108" s="5" t="n">
        <v>46054</v>
      </c>
      <c r="B108" s="0" t="s">
        <v>923</v>
      </c>
      <c r="C108" s="0" t="s">
        <v>920</v>
      </c>
      <c r="D108" s="0" t="s">
        <v>890</v>
      </c>
      <c r="E108" s="0" t="s">
        <v>408</v>
      </c>
      <c r="F108" s="17" t="n">
        <v>0.416666666666667</v>
      </c>
      <c r="G108" s="0" t="s">
        <v>925</v>
      </c>
      <c r="H108" s="0" t="n">
        <v>16</v>
      </c>
      <c r="I108" s="0" t="s">
        <v>17</v>
      </c>
      <c r="J108" s="0" t="s">
        <v>290</v>
      </c>
    </row>
    <row r="109" customFormat="false" ht="12.5" hidden="false" customHeight="false" outlineLevel="0" collapsed="false">
      <c r="A109" s="5" t="n">
        <v>46054</v>
      </c>
      <c r="B109" s="0" t="s">
        <v>926</v>
      </c>
      <c r="C109" s="0" t="s">
        <v>223</v>
      </c>
      <c r="D109" s="0" t="s">
        <v>890</v>
      </c>
      <c r="E109" s="0" t="s">
        <v>408</v>
      </c>
      <c r="F109" s="17" t="n">
        <v>0.416666666666667</v>
      </c>
      <c r="G109" s="0" t="s">
        <v>927</v>
      </c>
      <c r="H109" s="0" t="n">
        <v>16</v>
      </c>
      <c r="I109" s="0" t="s">
        <v>17</v>
      </c>
      <c r="J109" s="0" t="s">
        <v>290</v>
      </c>
    </row>
    <row r="110" customFormat="false" ht="12.5" hidden="false" customHeight="false" outlineLevel="0" collapsed="false">
      <c r="A110" s="5" t="n">
        <v>46054</v>
      </c>
      <c r="B110" s="0" t="s">
        <v>916</v>
      </c>
      <c r="C110" s="0" t="s">
        <v>200</v>
      </c>
      <c r="D110" s="0" t="s">
        <v>890</v>
      </c>
      <c r="E110" s="0" t="s">
        <v>408</v>
      </c>
      <c r="F110" s="17" t="n">
        <v>0.416666666666667</v>
      </c>
      <c r="G110" s="0" t="s">
        <v>931</v>
      </c>
      <c r="H110" s="0" t="n">
        <v>16</v>
      </c>
      <c r="I110" s="0" t="s">
        <v>17</v>
      </c>
      <c r="J110" s="0" t="s">
        <v>290</v>
      </c>
    </row>
    <row r="111" customFormat="false" ht="12.5" hidden="false" customHeight="false" outlineLevel="0" collapsed="false">
      <c r="A111" s="5" t="n">
        <v>46061</v>
      </c>
      <c r="B111" s="0" t="s">
        <v>223</v>
      </c>
      <c r="C111" s="0" t="s">
        <v>924</v>
      </c>
      <c r="D111" s="0" t="s">
        <v>890</v>
      </c>
      <c r="E111" s="0" t="s">
        <v>408</v>
      </c>
      <c r="F111" s="17" t="n">
        <v>0.416666666666667</v>
      </c>
      <c r="G111" s="0" t="s">
        <v>921</v>
      </c>
      <c r="H111" s="0" t="n">
        <v>17</v>
      </c>
      <c r="I111" s="0" t="s">
        <v>17</v>
      </c>
      <c r="J111" s="0" t="s">
        <v>290</v>
      </c>
    </row>
    <row r="112" customFormat="false" ht="12.5" hidden="false" customHeight="false" outlineLevel="0" collapsed="false">
      <c r="A112" s="5" t="n">
        <v>46062</v>
      </c>
      <c r="B112" s="0" t="s">
        <v>915</v>
      </c>
      <c r="C112" s="0" t="s">
        <v>920</v>
      </c>
      <c r="D112" s="0" t="s">
        <v>890</v>
      </c>
      <c r="E112" s="0" t="s">
        <v>408</v>
      </c>
      <c r="F112" s="17" t="n">
        <v>0.416666666666667</v>
      </c>
      <c r="G112" s="0" t="s">
        <v>917</v>
      </c>
      <c r="H112" s="0" t="n">
        <v>17</v>
      </c>
      <c r="I112" s="0" t="s">
        <v>17</v>
      </c>
      <c r="J112" s="0" t="s">
        <v>290</v>
      </c>
    </row>
    <row r="113" customFormat="false" ht="12.5" hidden="false" customHeight="false" outlineLevel="0" collapsed="false">
      <c r="A113" s="5" t="n">
        <v>46062</v>
      </c>
      <c r="B113" s="0" t="s">
        <v>208</v>
      </c>
      <c r="C113" s="0" t="s">
        <v>530</v>
      </c>
      <c r="D113" s="0" t="s">
        <v>890</v>
      </c>
      <c r="E113" s="0" t="s">
        <v>408</v>
      </c>
      <c r="F113" s="17" t="n">
        <v>0.416666666666667</v>
      </c>
      <c r="G113" s="0" t="s">
        <v>919</v>
      </c>
      <c r="H113" s="0" t="n">
        <v>17</v>
      </c>
      <c r="I113" s="0" t="s">
        <v>17</v>
      </c>
      <c r="J113" s="0" t="s">
        <v>290</v>
      </c>
    </row>
    <row r="114" customFormat="false" ht="12.5" hidden="false" customHeight="false" outlineLevel="0" collapsed="false">
      <c r="A114" s="5" t="n">
        <v>46062</v>
      </c>
      <c r="B114" s="0" t="s">
        <v>200</v>
      </c>
      <c r="C114" s="0" t="s">
        <v>918</v>
      </c>
      <c r="D114" s="0" t="s">
        <v>890</v>
      </c>
      <c r="E114" s="0" t="s">
        <v>408</v>
      </c>
      <c r="F114" s="17" t="n">
        <v>0.416666666666667</v>
      </c>
      <c r="G114" s="0" t="s">
        <v>922</v>
      </c>
      <c r="H114" s="0" t="n">
        <v>17</v>
      </c>
      <c r="I114" s="0" t="s">
        <v>17</v>
      </c>
      <c r="J114" s="0" t="s">
        <v>290</v>
      </c>
    </row>
    <row r="115" customFormat="false" ht="12.5" hidden="false" customHeight="false" outlineLevel="0" collapsed="false">
      <c r="A115" s="5" t="n">
        <v>46062</v>
      </c>
      <c r="B115" s="0" t="s">
        <v>923</v>
      </c>
      <c r="C115" s="0" t="s">
        <v>916</v>
      </c>
      <c r="D115" s="0" t="s">
        <v>890</v>
      </c>
      <c r="E115" s="0" t="s">
        <v>408</v>
      </c>
      <c r="F115" s="17" t="n">
        <v>0.416666666666667</v>
      </c>
      <c r="G115" s="0" t="s">
        <v>925</v>
      </c>
      <c r="H115" s="0" t="n">
        <v>17</v>
      </c>
      <c r="I115" s="0" t="s">
        <v>17</v>
      </c>
      <c r="J115" s="0" t="s">
        <v>290</v>
      </c>
    </row>
    <row r="116" customFormat="false" ht="12.5" hidden="false" customHeight="false" outlineLevel="0" collapsed="false">
      <c r="A116" s="5" t="n">
        <v>46062</v>
      </c>
      <c r="B116" s="0" t="s">
        <v>926</v>
      </c>
      <c r="C116" s="0" t="s">
        <v>536</v>
      </c>
      <c r="D116" s="0" t="s">
        <v>890</v>
      </c>
      <c r="E116" s="0" t="s">
        <v>408</v>
      </c>
      <c r="F116" s="17" t="n">
        <v>0.416666666666667</v>
      </c>
      <c r="G116" s="0" t="s">
        <v>927</v>
      </c>
      <c r="H116" s="0" t="n">
        <v>17</v>
      </c>
      <c r="I116" s="0" t="s">
        <v>17</v>
      </c>
      <c r="J116" s="0" t="s">
        <v>290</v>
      </c>
    </row>
    <row r="117" customFormat="false" ht="12.5" hidden="false" customHeight="false" outlineLevel="0" collapsed="false">
      <c r="A117" s="5" t="n">
        <v>46068</v>
      </c>
      <c r="B117" s="0" t="s">
        <v>223</v>
      </c>
      <c r="C117" s="0" t="s">
        <v>208</v>
      </c>
      <c r="D117" s="0" t="s">
        <v>890</v>
      </c>
      <c r="E117" s="0" t="s">
        <v>408</v>
      </c>
      <c r="F117" s="17" t="n">
        <v>0.416666666666667</v>
      </c>
      <c r="G117" s="0" t="s">
        <v>921</v>
      </c>
      <c r="H117" s="0" t="n">
        <v>18</v>
      </c>
      <c r="I117" s="0" t="s">
        <v>17</v>
      </c>
      <c r="J117" s="0" t="s">
        <v>290</v>
      </c>
    </row>
    <row r="118" customFormat="false" ht="12.5" hidden="false" customHeight="false" outlineLevel="0" collapsed="false">
      <c r="A118" s="5" t="n">
        <v>46069</v>
      </c>
      <c r="B118" s="0" t="s">
        <v>915</v>
      </c>
      <c r="C118" s="0" t="s">
        <v>929</v>
      </c>
      <c r="D118" s="0" t="s">
        <v>890</v>
      </c>
      <c r="E118" s="0" t="s">
        <v>408</v>
      </c>
      <c r="F118" s="17" t="n">
        <v>0.416666666666667</v>
      </c>
      <c r="G118" s="0" t="s">
        <v>917</v>
      </c>
      <c r="H118" s="0" t="n">
        <v>18</v>
      </c>
      <c r="I118" s="0" t="s">
        <v>17</v>
      </c>
      <c r="J118" s="0" t="s">
        <v>290</v>
      </c>
    </row>
    <row r="119" customFormat="false" ht="12.5" hidden="false" customHeight="false" outlineLevel="0" collapsed="false">
      <c r="A119" s="5" t="n">
        <v>46069</v>
      </c>
      <c r="B119" s="0" t="s">
        <v>530</v>
      </c>
      <c r="C119" s="0" t="s">
        <v>926</v>
      </c>
      <c r="D119" s="0" t="s">
        <v>890</v>
      </c>
      <c r="E119" s="0" t="s">
        <v>408</v>
      </c>
      <c r="F119" s="17" t="n">
        <v>0.4375</v>
      </c>
      <c r="G119" s="0" t="s">
        <v>932</v>
      </c>
      <c r="H119" s="0" t="n">
        <v>18</v>
      </c>
      <c r="I119" s="0" t="s">
        <v>17</v>
      </c>
      <c r="J119" s="0" t="s">
        <v>290</v>
      </c>
    </row>
    <row r="120" customFormat="false" ht="12.5" hidden="false" customHeight="false" outlineLevel="0" collapsed="false">
      <c r="A120" s="5" t="n">
        <v>46069</v>
      </c>
      <c r="B120" s="0" t="s">
        <v>200</v>
      </c>
      <c r="C120" s="0" t="s">
        <v>923</v>
      </c>
      <c r="D120" s="0" t="s">
        <v>890</v>
      </c>
      <c r="E120" s="0" t="s">
        <v>408</v>
      </c>
      <c r="F120" s="17" t="n">
        <v>0.416666666666667</v>
      </c>
      <c r="G120" s="0" t="s">
        <v>922</v>
      </c>
      <c r="H120" s="0" t="n">
        <v>18</v>
      </c>
      <c r="I120" s="0" t="s">
        <v>17</v>
      </c>
      <c r="J120" s="0" t="s">
        <v>290</v>
      </c>
    </row>
    <row r="121" customFormat="false" ht="12.5" hidden="false" customHeight="false" outlineLevel="0" collapsed="false">
      <c r="A121" s="5" t="n">
        <v>46069</v>
      </c>
      <c r="B121" s="0" t="s">
        <v>536</v>
      </c>
      <c r="C121" s="0" t="s">
        <v>916</v>
      </c>
      <c r="D121" s="0" t="s">
        <v>890</v>
      </c>
      <c r="E121" s="0" t="s">
        <v>408</v>
      </c>
      <c r="F121" s="17" t="n">
        <v>0.6875</v>
      </c>
      <c r="G121" s="0" t="s">
        <v>928</v>
      </c>
      <c r="H121" s="0" t="n">
        <v>18</v>
      </c>
      <c r="I121" s="0" t="s">
        <v>17</v>
      </c>
      <c r="J121" s="0" t="s">
        <v>290</v>
      </c>
    </row>
    <row r="122" customFormat="false" ht="12.5" hidden="false" customHeight="false" outlineLevel="0" collapsed="false">
      <c r="A122" s="5" t="n">
        <v>46069</v>
      </c>
      <c r="B122" s="0" t="s">
        <v>924</v>
      </c>
      <c r="C122" s="0" t="s">
        <v>920</v>
      </c>
      <c r="D122" s="0" t="s">
        <v>890</v>
      </c>
      <c r="E122" s="0" t="s">
        <v>408</v>
      </c>
      <c r="F122" s="17" t="n">
        <v>0.416666666666667</v>
      </c>
      <c r="G122" s="0" t="s">
        <v>935</v>
      </c>
      <c r="H122" s="0" t="n">
        <v>18</v>
      </c>
      <c r="I122" s="0" t="s">
        <v>17</v>
      </c>
      <c r="J122" s="0" t="s">
        <v>290</v>
      </c>
    </row>
    <row r="123" customFormat="false" ht="12.5" hidden="false" customHeight="false" outlineLevel="0" collapsed="false">
      <c r="A123" s="5" t="n">
        <v>46075</v>
      </c>
      <c r="B123" s="0" t="s">
        <v>200</v>
      </c>
      <c r="C123" s="0" t="s">
        <v>530</v>
      </c>
      <c r="D123" s="0" t="s">
        <v>890</v>
      </c>
      <c r="E123" s="0" t="s">
        <v>408</v>
      </c>
      <c r="F123" s="17" t="n">
        <v>0.416666666666667</v>
      </c>
      <c r="G123" s="0" t="s">
        <v>922</v>
      </c>
      <c r="H123" s="0" t="n">
        <v>19</v>
      </c>
      <c r="I123" s="0" t="s">
        <v>17</v>
      </c>
      <c r="J123" s="0" t="s">
        <v>290</v>
      </c>
    </row>
    <row r="124" customFormat="false" ht="12.5" hidden="false" customHeight="false" outlineLevel="0" collapsed="false">
      <c r="A124" s="5" t="n">
        <v>46076</v>
      </c>
      <c r="B124" s="0" t="s">
        <v>929</v>
      </c>
      <c r="C124" s="0" t="s">
        <v>915</v>
      </c>
      <c r="D124" s="0" t="s">
        <v>890</v>
      </c>
      <c r="E124" s="0" t="s">
        <v>408</v>
      </c>
      <c r="F124" s="17" t="n">
        <v>0.416666666666667</v>
      </c>
      <c r="G124" s="0" t="s">
        <v>930</v>
      </c>
      <c r="H124" s="0" t="n">
        <v>19</v>
      </c>
      <c r="I124" s="0" t="s">
        <v>17</v>
      </c>
      <c r="J124" s="0" t="s">
        <v>290</v>
      </c>
    </row>
    <row r="125" customFormat="false" ht="12.5" hidden="false" customHeight="false" outlineLevel="0" collapsed="false">
      <c r="A125" s="5" t="n">
        <v>46076</v>
      </c>
      <c r="B125" s="0" t="s">
        <v>208</v>
      </c>
      <c r="C125" s="0" t="s">
        <v>923</v>
      </c>
      <c r="D125" s="0" t="s">
        <v>890</v>
      </c>
      <c r="E125" s="0" t="s">
        <v>408</v>
      </c>
      <c r="F125" s="17" t="n">
        <v>0.416666666666667</v>
      </c>
      <c r="G125" s="0" t="s">
        <v>919</v>
      </c>
      <c r="H125" s="0" t="n">
        <v>19</v>
      </c>
      <c r="I125" s="0" t="s">
        <v>17</v>
      </c>
      <c r="J125" s="0" t="s">
        <v>290</v>
      </c>
    </row>
    <row r="126" customFormat="false" ht="12.5" hidden="false" customHeight="false" outlineLevel="0" collapsed="false">
      <c r="A126" s="5" t="n">
        <v>46076</v>
      </c>
      <c r="B126" s="0" t="s">
        <v>223</v>
      </c>
      <c r="C126" s="0" t="s">
        <v>536</v>
      </c>
      <c r="D126" s="0" t="s">
        <v>890</v>
      </c>
      <c r="E126" s="0" t="s">
        <v>408</v>
      </c>
      <c r="F126" s="17" t="n">
        <v>0.416666666666667</v>
      </c>
      <c r="G126" s="0" t="s">
        <v>921</v>
      </c>
      <c r="H126" s="0" t="n">
        <v>19</v>
      </c>
      <c r="I126" s="0" t="s">
        <v>17</v>
      </c>
      <c r="J126" s="0" t="s">
        <v>290</v>
      </c>
    </row>
    <row r="127" customFormat="false" ht="12.5" hidden="false" customHeight="false" outlineLevel="0" collapsed="false">
      <c r="A127" s="5" t="n">
        <v>46076</v>
      </c>
      <c r="B127" s="0" t="s">
        <v>926</v>
      </c>
      <c r="C127" s="0" t="s">
        <v>924</v>
      </c>
      <c r="D127" s="0" t="s">
        <v>890</v>
      </c>
      <c r="E127" s="0" t="s">
        <v>408</v>
      </c>
      <c r="F127" s="17" t="n">
        <v>0.416666666666667</v>
      </c>
      <c r="G127" s="0" t="s">
        <v>927</v>
      </c>
      <c r="H127" s="0" t="n">
        <v>19</v>
      </c>
      <c r="I127" s="0" t="s">
        <v>17</v>
      </c>
      <c r="J127" s="0" t="s">
        <v>290</v>
      </c>
    </row>
    <row r="128" customFormat="false" ht="12.5" hidden="false" customHeight="false" outlineLevel="0" collapsed="false">
      <c r="A128" s="5" t="n">
        <v>46076</v>
      </c>
      <c r="B128" s="0" t="s">
        <v>916</v>
      </c>
      <c r="C128" s="0" t="s">
        <v>920</v>
      </c>
      <c r="D128" s="0" t="s">
        <v>890</v>
      </c>
      <c r="E128" s="0" t="s">
        <v>408</v>
      </c>
      <c r="F128" s="17" t="n">
        <v>0.416666666666667</v>
      </c>
      <c r="G128" s="0" t="s">
        <v>931</v>
      </c>
      <c r="H128" s="0" t="n">
        <v>19</v>
      </c>
      <c r="I128" s="0" t="s">
        <v>17</v>
      </c>
      <c r="J128" s="0" t="s">
        <v>290</v>
      </c>
    </row>
    <row r="129" customFormat="false" ht="12.5" hidden="false" customHeight="false" outlineLevel="0" collapsed="false">
      <c r="A129" s="5" t="n">
        <v>46082</v>
      </c>
      <c r="B129" s="0" t="s">
        <v>208</v>
      </c>
      <c r="C129" s="0" t="s">
        <v>915</v>
      </c>
      <c r="D129" s="0" t="s">
        <v>890</v>
      </c>
      <c r="E129" s="0" t="s">
        <v>408</v>
      </c>
      <c r="F129" s="17" t="n">
        <v>0.416666666666667</v>
      </c>
      <c r="G129" s="0" t="s">
        <v>919</v>
      </c>
      <c r="H129" s="0" t="n">
        <v>20</v>
      </c>
      <c r="I129" s="0" t="s">
        <v>17</v>
      </c>
      <c r="J129" s="0" t="s">
        <v>290</v>
      </c>
    </row>
    <row r="130" customFormat="false" ht="12.5" hidden="false" customHeight="false" outlineLevel="0" collapsed="false">
      <c r="A130" s="5" t="n">
        <v>46082</v>
      </c>
      <c r="B130" s="0" t="s">
        <v>530</v>
      </c>
      <c r="C130" s="0" t="s">
        <v>929</v>
      </c>
      <c r="D130" s="0" t="s">
        <v>890</v>
      </c>
      <c r="E130" s="0" t="s">
        <v>408</v>
      </c>
      <c r="F130" s="17" t="n">
        <v>0.4375</v>
      </c>
      <c r="G130" s="0" t="s">
        <v>932</v>
      </c>
      <c r="H130" s="0" t="n">
        <v>20</v>
      </c>
      <c r="I130" s="0" t="s">
        <v>17</v>
      </c>
      <c r="J130" s="0" t="s">
        <v>290</v>
      </c>
    </row>
    <row r="131" customFormat="false" ht="12.5" hidden="false" customHeight="false" outlineLevel="0" collapsed="false">
      <c r="A131" s="5" t="n">
        <v>46082</v>
      </c>
      <c r="B131" s="0" t="s">
        <v>200</v>
      </c>
      <c r="C131" s="0" t="s">
        <v>918</v>
      </c>
      <c r="D131" s="0" t="s">
        <v>890</v>
      </c>
      <c r="E131" s="0" t="s">
        <v>408</v>
      </c>
      <c r="F131" s="17" t="n">
        <v>0.416666666666667</v>
      </c>
      <c r="G131" s="0" t="s">
        <v>922</v>
      </c>
      <c r="H131" s="0" t="n">
        <v>20</v>
      </c>
      <c r="I131" s="0" t="s">
        <v>17</v>
      </c>
      <c r="J131" s="0" t="s">
        <v>290</v>
      </c>
    </row>
    <row r="132" customFormat="false" ht="12.5" hidden="false" customHeight="false" outlineLevel="0" collapsed="false">
      <c r="A132" s="5" t="n">
        <v>46082</v>
      </c>
      <c r="B132" s="0" t="s">
        <v>923</v>
      </c>
      <c r="C132" s="0" t="s">
        <v>926</v>
      </c>
      <c r="D132" s="0" t="s">
        <v>890</v>
      </c>
      <c r="E132" s="0" t="s">
        <v>408</v>
      </c>
      <c r="F132" s="17" t="n">
        <v>0.416666666666667</v>
      </c>
      <c r="G132" s="0" t="s">
        <v>925</v>
      </c>
      <c r="H132" s="0" t="n">
        <v>20</v>
      </c>
      <c r="I132" s="0" t="s">
        <v>17</v>
      </c>
      <c r="J132" s="0" t="s">
        <v>290</v>
      </c>
    </row>
    <row r="133" customFormat="false" ht="12.5" hidden="false" customHeight="false" outlineLevel="0" collapsed="false">
      <c r="A133" s="5" t="n">
        <v>46082</v>
      </c>
      <c r="B133" s="0" t="s">
        <v>536</v>
      </c>
      <c r="C133" s="0" t="s">
        <v>924</v>
      </c>
      <c r="D133" s="0" t="s">
        <v>890</v>
      </c>
      <c r="E133" s="0" t="s">
        <v>408</v>
      </c>
      <c r="F133" s="17" t="n">
        <v>0.6875</v>
      </c>
      <c r="G133" s="0" t="s">
        <v>928</v>
      </c>
      <c r="H133" s="0" t="n">
        <v>20</v>
      </c>
      <c r="I133" s="0" t="s">
        <v>17</v>
      </c>
      <c r="J133" s="0" t="s">
        <v>290</v>
      </c>
    </row>
    <row r="134" customFormat="false" ht="12.5" hidden="false" customHeight="false" outlineLevel="0" collapsed="false">
      <c r="A134" s="5" t="n">
        <v>46082</v>
      </c>
      <c r="B134" s="0" t="s">
        <v>916</v>
      </c>
      <c r="C134" s="0" t="s">
        <v>223</v>
      </c>
      <c r="D134" s="0" t="s">
        <v>890</v>
      </c>
      <c r="E134" s="0" t="s">
        <v>408</v>
      </c>
      <c r="F134" s="17" t="n">
        <v>0.416666666666667</v>
      </c>
      <c r="G134" s="0" t="s">
        <v>931</v>
      </c>
      <c r="H134" s="0" t="n">
        <v>20</v>
      </c>
      <c r="I134" s="0" t="s">
        <v>17</v>
      </c>
      <c r="J134" s="0" t="s">
        <v>290</v>
      </c>
    </row>
    <row r="135" customFormat="false" ht="12.5" hidden="false" customHeight="false" outlineLevel="0" collapsed="false">
      <c r="A135" s="5" t="n">
        <v>46089</v>
      </c>
      <c r="B135" s="0" t="s">
        <v>915</v>
      </c>
      <c r="C135" s="0" t="s">
        <v>223</v>
      </c>
      <c r="D135" s="0" t="s">
        <v>890</v>
      </c>
      <c r="E135" s="0" t="s">
        <v>408</v>
      </c>
      <c r="F135" s="17" t="n">
        <v>0.416666666666667</v>
      </c>
      <c r="G135" s="0" t="s">
        <v>917</v>
      </c>
      <c r="H135" s="0" t="n">
        <v>21</v>
      </c>
      <c r="I135" s="0" t="s">
        <v>17</v>
      </c>
      <c r="J135" s="0" t="s">
        <v>290</v>
      </c>
    </row>
    <row r="136" customFormat="false" ht="12.5" hidden="false" customHeight="false" outlineLevel="0" collapsed="false">
      <c r="A136" s="5" t="n">
        <v>46089</v>
      </c>
      <c r="B136" s="0" t="s">
        <v>929</v>
      </c>
      <c r="C136" s="0" t="s">
        <v>920</v>
      </c>
      <c r="D136" s="0" t="s">
        <v>890</v>
      </c>
      <c r="E136" s="0" t="s">
        <v>408</v>
      </c>
      <c r="F136" s="17" t="n">
        <v>0.416666666666667</v>
      </c>
      <c r="G136" s="0" t="s">
        <v>930</v>
      </c>
      <c r="H136" s="0" t="n">
        <v>21</v>
      </c>
      <c r="I136" s="0" t="s">
        <v>17</v>
      </c>
      <c r="J136" s="0" t="s">
        <v>290</v>
      </c>
    </row>
    <row r="137" customFormat="false" ht="12.5" hidden="false" customHeight="false" outlineLevel="0" collapsed="false">
      <c r="A137" s="5" t="n">
        <v>46089</v>
      </c>
      <c r="B137" s="0" t="s">
        <v>208</v>
      </c>
      <c r="C137" s="0" t="s">
        <v>530</v>
      </c>
      <c r="D137" s="0" t="s">
        <v>890</v>
      </c>
      <c r="E137" s="0" t="s">
        <v>408</v>
      </c>
      <c r="F137" s="17" t="n">
        <v>0.416666666666667</v>
      </c>
      <c r="G137" s="0" t="s">
        <v>919</v>
      </c>
      <c r="H137" s="0" t="n">
        <v>21</v>
      </c>
      <c r="I137" s="0" t="s">
        <v>17</v>
      </c>
      <c r="J137" s="0" t="s">
        <v>290</v>
      </c>
    </row>
    <row r="138" customFormat="false" ht="12.5" hidden="false" customHeight="false" outlineLevel="0" collapsed="false">
      <c r="A138" s="5" t="n">
        <v>46089</v>
      </c>
      <c r="B138" s="0" t="s">
        <v>200</v>
      </c>
      <c r="C138" s="0" t="s">
        <v>916</v>
      </c>
      <c r="D138" s="0" t="s">
        <v>890</v>
      </c>
      <c r="E138" s="0" t="s">
        <v>408</v>
      </c>
      <c r="F138" s="17" t="n">
        <v>0.416666666666667</v>
      </c>
      <c r="G138" s="0" t="s">
        <v>922</v>
      </c>
      <c r="H138" s="0" t="n">
        <v>21</v>
      </c>
      <c r="I138" s="0" t="s">
        <v>17</v>
      </c>
      <c r="J138" s="0" t="s">
        <v>290</v>
      </c>
    </row>
    <row r="139" customFormat="false" ht="12.5" hidden="false" customHeight="false" outlineLevel="0" collapsed="false">
      <c r="A139" s="5" t="n">
        <v>46089</v>
      </c>
      <c r="B139" s="0" t="s">
        <v>923</v>
      </c>
      <c r="C139" s="0" t="s">
        <v>536</v>
      </c>
      <c r="D139" s="0" t="s">
        <v>890</v>
      </c>
      <c r="E139" s="0" t="s">
        <v>408</v>
      </c>
      <c r="F139" s="17" t="n">
        <v>0.416666666666667</v>
      </c>
      <c r="G139" s="0" t="s">
        <v>925</v>
      </c>
      <c r="H139" s="0" t="n">
        <v>21</v>
      </c>
      <c r="I139" s="0" t="s">
        <v>17</v>
      </c>
      <c r="J139" s="0" t="s">
        <v>290</v>
      </c>
    </row>
    <row r="140" customFormat="false" ht="12.5" hidden="false" customHeight="false" outlineLevel="0" collapsed="false">
      <c r="A140" s="5" t="n">
        <v>46089</v>
      </c>
      <c r="B140" s="0" t="s">
        <v>926</v>
      </c>
      <c r="C140" s="0" t="s">
        <v>918</v>
      </c>
      <c r="D140" s="0" t="s">
        <v>890</v>
      </c>
      <c r="E140" s="0" t="s">
        <v>408</v>
      </c>
      <c r="F140" s="17" t="n">
        <v>0.416666666666667</v>
      </c>
      <c r="G140" s="0" t="s">
        <v>927</v>
      </c>
      <c r="H140" s="0" t="n">
        <v>21</v>
      </c>
      <c r="I140" s="0" t="s">
        <v>17</v>
      </c>
      <c r="J140" s="0" t="s">
        <v>290</v>
      </c>
    </row>
    <row r="141" customFormat="false" ht="12.5" hidden="false" customHeight="false" outlineLevel="0" collapsed="false">
      <c r="A141" s="5" t="n">
        <v>46096</v>
      </c>
      <c r="B141" s="0" t="s">
        <v>915</v>
      </c>
      <c r="C141" s="0" t="s">
        <v>926</v>
      </c>
      <c r="D141" s="0" t="s">
        <v>890</v>
      </c>
      <c r="E141" s="0" t="s">
        <v>408</v>
      </c>
      <c r="F141" s="17" t="n">
        <v>0.416666666666667</v>
      </c>
      <c r="G141" s="0" t="s">
        <v>917</v>
      </c>
      <c r="H141" s="0" t="n">
        <v>22</v>
      </c>
      <c r="I141" s="0" t="s">
        <v>17</v>
      </c>
      <c r="J141" s="0" t="s">
        <v>290</v>
      </c>
    </row>
    <row r="142" customFormat="false" ht="12.5" hidden="false" customHeight="false" outlineLevel="0" collapsed="false">
      <c r="A142" s="5" t="n">
        <v>46096</v>
      </c>
      <c r="B142" s="0" t="s">
        <v>929</v>
      </c>
      <c r="C142" s="0" t="s">
        <v>208</v>
      </c>
      <c r="D142" s="0" t="s">
        <v>890</v>
      </c>
      <c r="E142" s="0" t="s">
        <v>408</v>
      </c>
      <c r="F142" s="17" t="n">
        <v>0.416666666666667</v>
      </c>
      <c r="G142" s="0" t="s">
        <v>930</v>
      </c>
      <c r="H142" s="0" t="n">
        <v>22</v>
      </c>
      <c r="I142" s="0" t="s">
        <v>17</v>
      </c>
      <c r="J142" s="0" t="s">
        <v>290</v>
      </c>
    </row>
    <row r="143" customFormat="false" ht="12.5" hidden="false" customHeight="false" outlineLevel="0" collapsed="false">
      <c r="A143" s="5" t="n">
        <v>46096</v>
      </c>
      <c r="B143" s="0" t="s">
        <v>530</v>
      </c>
      <c r="C143" s="0" t="s">
        <v>920</v>
      </c>
      <c r="D143" s="0" t="s">
        <v>890</v>
      </c>
      <c r="E143" s="0" t="s">
        <v>408</v>
      </c>
      <c r="F143" s="17" t="n">
        <v>0.4375</v>
      </c>
      <c r="G143" s="0" t="s">
        <v>932</v>
      </c>
      <c r="H143" s="0" t="n">
        <v>22</v>
      </c>
      <c r="I143" s="0" t="s">
        <v>17</v>
      </c>
      <c r="J143" s="0" t="s">
        <v>290</v>
      </c>
    </row>
    <row r="144" customFormat="false" ht="12.5" hidden="false" customHeight="false" outlineLevel="0" collapsed="false">
      <c r="A144" s="5" t="n">
        <v>46096</v>
      </c>
      <c r="B144" s="0" t="s">
        <v>200</v>
      </c>
      <c r="C144" s="0" t="s">
        <v>223</v>
      </c>
      <c r="D144" s="0" t="s">
        <v>890</v>
      </c>
      <c r="E144" s="0" t="s">
        <v>408</v>
      </c>
      <c r="F144" s="17" t="n">
        <v>0.416666666666667</v>
      </c>
      <c r="G144" s="0" t="s">
        <v>922</v>
      </c>
      <c r="H144" s="0" t="n">
        <v>22</v>
      </c>
      <c r="I144" s="0" t="s">
        <v>17</v>
      </c>
      <c r="J144" s="0" t="s">
        <v>290</v>
      </c>
    </row>
    <row r="145" customFormat="false" ht="12.5" hidden="false" customHeight="false" outlineLevel="0" collapsed="false">
      <c r="A145" s="5" t="n">
        <v>46096</v>
      </c>
      <c r="B145" s="0" t="s">
        <v>923</v>
      </c>
      <c r="C145" s="0" t="s">
        <v>929</v>
      </c>
      <c r="D145" s="0" t="s">
        <v>890</v>
      </c>
      <c r="E145" s="0" t="s">
        <v>408</v>
      </c>
      <c r="F145" s="17" t="n">
        <v>0.416666666666667</v>
      </c>
      <c r="G145" s="0" t="s">
        <v>925</v>
      </c>
      <c r="H145" s="0" t="n">
        <v>22</v>
      </c>
      <c r="I145" s="0" t="s">
        <v>17</v>
      </c>
      <c r="J145" s="0" t="s">
        <v>290</v>
      </c>
    </row>
    <row r="146" customFormat="false" ht="12.5" hidden="false" customHeight="false" outlineLevel="0" collapsed="false">
      <c r="A146" s="5" t="n">
        <v>46096</v>
      </c>
      <c r="B146" s="0" t="s">
        <v>924</v>
      </c>
      <c r="C146" s="0" t="s">
        <v>536</v>
      </c>
      <c r="D146" s="0" t="s">
        <v>890</v>
      </c>
      <c r="E146" s="0" t="s">
        <v>408</v>
      </c>
      <c r="F146" s="17" t="n">
        <v>0.416666666666667</v>
      </c>
      <c r="G146" s="0" t="s">
        <v>935</v>
      </c>
      <c r="H146" s="0" t="n">
        <v>22</v>
      </c>
      <c r="I146" s="0" t="s">
        <v>17</v>
      </c>
      <c r="J146" s="0" t="s">
        <v>290</v>
      </c>
    </row>
    <row r="147" customFormat="false" ht="12.5" hidden="false" customHeight="false" outlineLevel="0" collapsed="false">
      <c r="A147" s="5" t="n">
        <v>46103</v>
      </c>
      <c r="B147" s="0" t="s">
        <v>915</v>
      </c>
      <c r="C147" s="0" t="s">
        <v>530</v>
      </c>
      <c r="D147" s="0" t="s">
        <v>890</v>
      </c>
      <c r="E147" s="0" t="s">
        <v>408</v>
      </c>
      <c r="F147" s="17" t="n">
        <v>0.416666666666667</v>
      </c>
      <c r="G147" s="0" t="s">
        <v>917</v>
      </c>
      <c r="H147" s="0" t="n">
        <v>23</v>
      </c>
      <c r="I147" s="0" t="s">
        <v>17</v>
      </c>
      <c r="J147" s="0" t="s">
        <v>290</v>
      </c>
    </row>
    <row r="148" customFormat="false" ht="12.5" hidden="false" customHeight="false" outlineLevel="0" collapsed="false">
      <c r="A148" s="5" t="n">
        <v>46103</v>
      </c>
      <c r="B148" s="0" t="s">
        <v>208</v>
      </c>
      <c r="C148" s="0" t="s">
        <v>200</v>
      </c>
      <c r="D148" s="0" t="s">
        <v>890</v>
      </c>
      <c r="E148" s="0" t="s">
        <v>408</v>
      </c>
      <c r="F148" s="17" t="n">
        <v>0.416666666666667</v>
      </c>
      <c r="G148" s="0" t="s">
        <v>919</v>
      </c>
      <c r="H148" s="0" t="n">
        <v>23</v>
      </c>
      <c r="I148" s="0" t="s">
        <v>17</v>
      </c>
      <c r="J148" s="0" t="s">
        <v>290</v>
      </c>
    </row>
    <row r="149" customFormat="false" ht="12.5" hidden="false" customHeight="false" outlineLevel="0" collapsed="false">
      <c r="A149" s="5" t="n">
        <v>46103</v>
      </c>
      <c r="B149" s="0" t="s">
        <v>223</v>
      </c>
      <c r="C149" s="0" t="s">
        <v>926</v>
      </c>
      <c r="D149" s="0" t="s">
        <v>890</v>
      </c>
      <c r="E149" s="0" t="s">
        <v>408</v>
      </c>
      <c r="F149" s="17" t="n">
        <v>0.416666666666667</v>
      </c>
      <c r="G149" s="0" t="s">
        <v>921</v>
      </c>
      <c r="H149" s="0" t="n">
        <v>23</v>
      </c>
      <c r="I149" s="0" t="s">
        <v>17</v>
      </c>
      <c r="J149" s="0" t="s">
        <v>290</v>
      </c>
    </row>
    <row r="150" customFormat="false" ht="12.5" hidden="false" customHeight="false" outlineLevel="0" collapsed="false">
      <c r="A150" s="5" t="n">
        <v>46103</v>
      </c>
      <c r="B150" s="0" t="s">
        <v>923</v>
      </c>
      <c r="C150" s="0" t="s">
        <v>916</v>
      </c>
      <c r="D150" s="0" t="s">
        <v>890</v>
      </c>
      <c r="E150" s="0" t="s">
        <v>408</v>
      </c>
      <c r="F150" s="17" t="n">
        <v>0.416666666666667</v>
      </c>
      <c r="G150" s="0" t="s">
        <v>925</v>
      </c>
      <c r="H150" s="0" t="n">
        <v>23</v>
      </c>
      <c r="I150" s="0" t="s">
        <v>17</v>
      </c>
      <c r="J150" s="0" t="s">
        <v>290</v>
      </c>
    </row>
    <row r="151" customFormat="false" ht="12.5" hidden="false" customHeight="false" outlineLevel="0" collapsed="false">
      <c r="A151" s="5" t="n">
        <v>46103</v>
      </c>
      <c r="B151" s="0" t="s">
        <v>918</v>
      </c>
      <c r="C151" s="0" t="s">
        <v>929</v>
      </c>
      <c r="D151" s="0" t="s">
        <v>890</v>
      </c>
      <c r="E151" s="0" t="s">
        <v>408</v>
      </c>
      <c r="F151" s="17" t="n">
        <v>0.4375</v>
      </c>
      <c r="G151" s="0" t="s">
        <v>933</v>
      </c>
      <c r="H151" s="0" t="n">
        <v>23</v>
      </c>
      <c r="I151" s="0" t="s">
        <v>17</v>
      </c>
      <c r="J151" s="0" t="s">
        <v>290</v>
      </c>
    </row>
    <row r="152" customFormat="false" ht="12.5" hidden="false" customHeight="false" outlineLevel="0" collapsed="false">
      <c r="A152" s="5" t="n">
        <v>46103</v>
      </c>
      <c r="B152" s="0" t="s">
        <v>924</v>
      </c>
      <c r="C152" s="0" t="s">
        <v>920</v>
      </c>
      <c r="D152" s="0" t="s">
        <v>890</v>
      </c>
      <c r="E152" s="0" t="s">
        <v>408</v>
      </c>
      <c r="F152" s="17" t="n">
        <v>0.416666666666667</v>
      </c>
      <c r="G152" s="0" t="s">
        <v>935</v>
      </c>
      <c r="H152" s="0" t="n">
        <v>23</v>
      </c>
      <c r="I152" s="0" t="s">
        <v>17</v>
      </c>
      <c r="J152" s="0" t="s">
        <v>290</v>
      </c>
    </row>
    <row r="153" customFormat="false" ht="12.5" hidden="false" customHeight="false" outlineLevel="0" collapsed="false">
      <c r="A153" s="5" t="n">
        <v>46110</v>
      </c>
      <c r="B153" s="0" t="s">
        <v>915</v>
      </c>
      <c r="C153" s="0" t="s">
        <v>929</v>
      </c>
      <c r="D153" s="0" t="s">
        <v>890</v>
      </c>
      <c r="E153" s="0" t="s">
        <v>408</v>
      </c>
      <c r="F153" s="17" t="n">
        <v>0.416666666666667</v>
      </c>
      <c r="G153" s="0" t="s">
        <v>917</v>
      </c>
      <c r="H153" s="0" t="n">
        <v>24</v>
      </c>
      <c r="I153" s="0" t="s">
        <v>17</v>
      </c>
      <c r="J153" s="0" t="s">
        <v>290</v>
      </c>
    </row>
    <row r="154" customFormat="false" ht="12.5" hidden="false" customHeight="false" outlineLevel="0" collapsed="false">
      <c r="A154" s="5" t="n">
        <v>46110</v>
      </c>
      <c r="B154" s="0" t="s">
        <v>208</v>
      </c>
      <c r="C154" s="0" t="s">
        <v>920</v>
      </c>
      <c r="D154" s="0" t="s">
        <v>890</v>
      </c>
      <c r="E154" s="0" t="s">
        <v>408</v>
      </c>
      <c r="F154" s="17" t="n">
        <v>0.416666666666667</v>
      </c>
      <c r="G154" s="0" t="s">
        <v>919</v>
      </c>
      <c r="H154" s="0" t="n">
        <v>24</v>
      </c>
      <c r="I154" s="0" t="s">
        <v>17</v>
      </c>
      <c r="J154" s="0" t="s">
        <v>290</v>
      </c>
    </row>
    <row r="155" customFormat="false" ht="12.5" hidden="false" customHeight="false" outlineLevel="0" collapsed="false">
      <c r="A155" s="5" t="n">
        <v>46110</v>
      </c>
      <c r="B155" s="0" t="s">
        <v>530</v>
      </c>
      <c r="C155" s="0" t="s">
        <v>200</v>
      </c>
      <c r="D155" s="0" t="s">
        <v>890</v>
      </c>
      <c r="E155" s="0" t="s">
        <v>408</v>
      </c>
      <c r="F155" s="17" t="n">
        <v>0.4375</v>
      </c>
      <c r="G155" s="0" t="s">
        <v>932</v>
      </c>
      <c r="H155" s="0" t="n">
        <v>24</v>
      </c>
      <c r="I155" s="0" t="s">
        <v>17</v>
      </c>
      <c r="J155" s="0" t="s">
        <v>290</v>
      </c>
    </row>
    <row r="156" customFormat="false" ht="12.5" hidden="false" customHeight="false" outlineLevel="0" collapsed="false">
      <c r="A156" s="5" t="n">
        <v>46110</v>
      </c>
      <c r="B156" s="0" t="s">
        <v>223</v>
      </c>
      <c r="C156" s="0" t="s">
        <v>924</v>
      </c>
      <c r="D156" s="0" t="s">
        <v>890</v>
      </c>
      <c r="E156" s="0" t="s">
        <v>408</v>
      </c>
      <c r="F156" s="17" t="n">
        <v>0.416666666666667</v>
      </c>
      <c r="G156" s="0" t="s">
        <v>921</v>
      </c>
      <c r="H156" s="0" t="n">
        <v>24</v>
      </c>
      <c r="I156" s="0" t="s">
        <v>17</v>
      </c>
      <c r="J156" s="0" t="s">
        <v>290</v>
      </c>
    </row>
    <row r="157" customFormat="false" ht="12.5" hidden="false" customHeight="false" outlineLevel="0" collapsed="false">
      <c r="A157" s="5" t="n">
        <v>46110</v>
      </c>
      <c r="B157" s="0" t="s">
        <v>923</v>
      </c>
      <c r="C157" s="0" t="s">
        <v>915</v>
      </c>
      <c r="D157" s="0" t="s">
        <v>890</v>
      </c>
      <c r="E157" s="0" t="s">
        <v>408</v>
      </c>
      <c r="F157" s="17" t="n">
        <v>0.416666666666667</v>
      </c>
      <c r="G157" s="0" t="s">
        <v>925</v>
      </c>
      <c r="H157" s="0" t="n">
        <v>24</v>
      </c>
      <c r="I157" s="0" t="s">
        <v>17</v>
      </c>
      <c r="J157" s="0" t="s">
        <v>290</v>
      </c>
    </row>
    <row r="158" customFormat="false" ht="12.5" hidden="false" customHeight="false" outlineLevel="0" collapsed="false">
      <c r="A158" s="5" t="n">
        <v>46110</v>
      </c>
      <c r="B158" s="0" t="s">
        <v>926</v>
      </c>
      <c r="C158" s="0" t="s">
        <v>916</v>
      </c>
      <c r="D158" s="0" t="s">
        <v>890</v>
      </c>
      <c r="E158" s="0" t="s">
        <v>408</v>
      </c>
      <c r="F158" s="17" t="n">
        <v>0.416666666666667</v>
      </c>
      <c r="G158" s="0" t="s">
        <v>927</v>
      </c>
      <c r="H158" s="0" t="n">
        <v>24</v>
      </c>
      <c r="I158" s="0" t="s">
        <v>17</v>
      </c>
      <c r="J158" s="0" t="s">
        <v>290</v>
      </c>
    </row>
    <row r="159" customFormat="false" ht="12.5" hidden="false" customHeight="false" outlineLevel="0" collapsed="false">
      <c r="A159" s="5" t="n">
        <v>46117</v>
      </c>
      <c r="B159" s="0" t="s">
        <v>915</v>
      </c>
      <c r="C159" s="0" t="s">
        <v>200</v>
      </c>
      <c r="D159" s="0" t="s">
        <v>890</v>
      </c>
      <c r="E159" s="0" t="s">
        <v>408</v>
      </c>
      <c r="F159" s="17" t="n">
        <v>0.416666666666667</v>
      </c>
      <c r="G159" s="0" t="s">
        <v>917</v>
      </c>
      <c r="H159" s="0" t="n">
        <v>25</v>
      </c>
      <c r="I159" s="0" t="s">
        <v>17</v>
      </c>
      <c r="J159" s="0" t="s">
        <v>290</v>
      </c>
    </row>
    <row r="160" customFormat="false" ht="12.5" hidden="false" customHeight="false" outlineLevel="0" collapsed="false">
      <c r="A160" s="5" t="n">
        <v>46117</v>
      </c>
      <c r="B160" s="0" t="s">
        <v>929</v>
      </c>
      <c r="C160" s="0" t="s">
        <v>530</v>
      </c>
      <c r="D160" s="0" t="s">
        <v>890</v>
      </c>
      <c r="E160" s="0" t="s">
        <v>408</v>
      </c>
      <c r="F160" s="17" t="n">
        <v>0.416666666666667</v>
      </c>
      <c r="G160" s="0" t="s">
        <v>930</v>
      </c>
      <c r="H160" s="0" t="n">
        <v>25</v>
      </c>
      <c r="I160" s="0" t="s">
        <v>17</v>
      </c>
      <c r="J160" s="0" t="s">
        <v>290</v>
      </c>
    </row>
    <row r="161" customFormat="false" ht="12.5" hidden="false" customHeight="false" outlineLevel="0" collapsed="false">
      <c r="A161" s="5" t="n">
        <v>46117</v>
      </c>
      <c r="B161" s="0" t="s">
        <v>208</v>
      </c>
      <c r="C161" s="0" t="s">
        <v>223</v>
      </c>
      <c r="D161" s="0" t="s">
        <v>890</v>
      </c>
      <c r="E161" s="0" t="s">
        <v>408</v>
      </c>
      <c r="F161" s="17" t="n">
        <v>0.416666666666667</v>
      </c>
      <c r="G161" s="0" t="s">
        <v>919</v>
      </c>
      <c r="H161" s="0" t="n">
        <v>25</v>
      </c>
      <c r="I161" s="0" t="s">
        <v>17</v>
      </c>
      <c r="J161" s="0" t="s">
        <v>290</v>
      </c>
    </row>
    <row r="162" customFormat="false" ht="12.5" hidden="false" customHeight="false" outlineLevel="0" collapsed="false">
      <c r="A162" s="5" t="n">
        <v>46117</v>
      </c>
      <c r="B162" s="0" t="s">
        <v>530</v>
      </c>
      <c r="C162" s="0" t="s">
        <v>536</v>
      </c>
      <c r="D162" s="0" t="s">
        <v>890</v>
      </c>
      <c r="E162" s="0" t="s">
        <v>408</v>
      </c>
      <c r="F162" s="17" t="n">
        <v>0.4375</v>
      </c>
      <c r="G162" s="0" t="s">
        <v>932</v>
      </c>
      <c r="H162" s="0" t="n">
        <v>25</v>
      </c>
      <c r="I162" s="0" t="s">
        <v>17</v>
      </c>
      <c r="J162" s="0" t="s">
        <v>290</v>
      </c>
    </row>
    <row r="163" customFormat="false" ht="12.5" hidden="false" customHeight="false" outlineLevel="0" collapsed="false">
      <c r="A163" s="5" t="n">
        <v>46117</v>
      </c>
      <c r="B163" s="0" t="s">
        <v>923</v>
      </c>
      <c r="C163" s="0" t="s">
        <v>929</v>
      </c>
      <c r="D163" s="0" t="s">
        <v>890</v>
      </c>
      <c r="E163" s="0" t="s">
        <v>408</v>
      </c>
      <c r="F163" s="17" t="n">
        <v>0.416666666666667</v>
      </c>
      <c r="G163" s="0" t="s">
        <v>925</v>
      </c>
      <c r="H163" s="0" t="n">
        <v>25</v>
      </c>
      <c r="I163" s="0" t="s">
        <v>17</v>
      </c>
      <c r="J163" s="0" t="s">
        <v>290</v>
      </c>
    </row>
    <row r="164" customFormat="false" ht="12.5" hidden="false" customHeight="false" outlineLevel="0" collapsed="false">
      <c r="A164" s="5" t="n">
        <v>46117</v>
      </c>
      <c r="B164" s="0" t="s">
        <v>924</v>
      </c>
      <c r="C164" s="0" t="s">
        <v>918</v>
      </c>
      <c r="D164" s="0" t="s">
        <v>890</v>
      </c>
      <c r="E164" s="0" t="s">
        <v>408</v>
      </c>
      <c r="F164" s="17" t="n">
        <v>0.416666666666667</v>
      </c>
      <c r="G164" s="0" t="s">
        <v>935</v>
      </c>
      <c r="H164" s="0" t="n">
        <v>25</v>
      </c>
      <c r="I164" s="0" t="s">
        <v>17</v>
      </c>
      <c r="J164" s="0" t="s">
        <v>290</v>
      </c>
    </row>
    <row r="165" customFormat="false" ht="12.5" hidden="false" customHeight="false" outlineLevel="0" collapsed="false">
      <c r="A165" s="5" t="n">
        <v>46130</v>
      </c>
      <c r="B165" s="0" t="s">
        <v>536</v>
      </c>
      <c r="C165" s="0" t="s">
        <v>208</v>
      </c>
      <c r="D165" s="0" t="s">
        <v>890</v>
      </c>
      <c r="E165" s="0" t="s">
        <v>408</v>
      </c>
      <c r="F165" s="17" t="n">
        <v>0.6875</v>
      </c>
      <c r="G165" s="0" t="s">
        <v>928</v>
      </c>
      <c r="H165" s="0" t="n">
        <v>26</v>
      </c>
      <c r="I165" s="0" t="s">
        <v>17</v>
      </c>
      <c r="J165" s="0" t="s">
        <v>290</v>
      </c>
    </row>
    <row r="166" customFormat="false" ht="12.5" hidden="false" customHeight="false" outlineLevel="0" collapsed="false">
      <c r="A166" s="5" t="n">
        <v>46131</v>
      </c>
      <c r="B166" s="0" t="s">
        <v>923</v>
      </c>
      <c r="C166" s="0" t="s">
        <v>929</v>
      </c>
      <c r="D166" s="0" t="s">
        <v>890</v>
      </c>
      <c r="E166" s="0" t="s">
        <v>408</v>
      </c>
      <c r="F166" s="17" t="n">
        <v>0.416666666666667</v>
      </c>
      <c r="G166" s="0" t="s">
        <v>925</v>
      </c>
      <c r="H166" s="0" t="n">
        <v>26</v>
      </c>
      <c r="I166" s="0" t="s">
        <v>17</v>
      </c>
      <c r="J166" s="0" t="s">
        <v>290</v>
      </c>
    </row>
    <row r="167" customFormat="false" ht="12.5" hidden="false" customHeight="false" outlineLevel="0" collapsed="false">
      <c r="A167" s="5" t="n">
        <v>46131</v>
      </c>
      <c r="B167" s="0" t="s">
        <v>924</v>
      </c>
      <c r="C167" s="0" t="s">
        <v>926</v>
      </c>
      <c r="D167" s="0" t="s">
        <v>890</v>
      </c>
      <c r="E167" s="0" t="s">
        <v>408</v>
      </c>
      <c r="F167" s="17" t="n">
        <v>0.416666666666667</v>
      </c>
      <c r="G167" s="0" t="s">
        <v>935</v>
      </c>
      <c r="H167" s="0" t="n">
        <v>26</v>
      </c>
      <c r="I167" s="0" t="s">
        <v>17</v>
      </c>
      <c r="J167" s="0" t="s">
        <v>290</v>
      </c>
    </row>
    <row r="168" customFormat="false" ht="12.5" hidden="false" customHeight="false" outlineLevel="0" collapsed="false">
      <c r="A168" s="5" t="n">
        <v>46131</v>
      </c>
      <c r="B168" s="0" t="s">
        <v>530</v>
      </c>
      <c r="C168" s="0" t="s">
        <v>223</v>
      </c>
      <c r="D168" s="0" t="s">
        <v>890</v>
      </c>
      <c r="E168" s="0" t="s">
        <v>408</v>
      </c>
      <c r="F168" s="17" t="n">
        <v>0.4375</v>
      </c>
      <c r="G168" s="0" t="s">
        <v>932</v>
      </c>
      <c r="H168" s="0" t="n">
        <v>26</v>
      </c>
      <c r="I168" s="0" t="s">
        <v>17</v>
      </c>
      <c r="J168" s="0" t="s">
        <v>290</v>
      </c>
    </row>
    <row r="169" customFormat="false" ht="12.5" hidden="false" customHeight="false" outlineLevel="0" collapsed="false">
      <c r="A169" s="5" t="n">
        <v>46131</v>
      </c>
      <c r="B169" s="0" t="s">
        <v>918</v>
      </c>
      <c r="C169" s="0" t="s">
        <v>915</v>
      </c>
      <c r="D169" s="0" t="s">
        <v>890</v>
      </c>
      <c r="E169" s="0" t="s">
        <v>408</v>
      </c>
      <c r="F169" s="17" t="n">
        <v>0.4375</v>
      </c>
      <c r="G169" s="0" t="s">
        <v>933</v>
      </c>
      <c r="H169" s="0" t="n">
        <v>26</v>
      </c>
      <c r="I169" s="0" t="s">
        <v>17</v>
      </c>
      <c r="J169" s="0" t="s">
        <v>290</v>
      </c>
    </row>
    <row r="170" customFormat="false" ht="12.5" hidden="false" customHeight="false" outlineLevel="0" collapsed="false">
      <c r="A170" s="5" t="n">
        <v>46131</v>
      </c>
      <c r="B170" s="0" t="s">
        <v>920</v>
      </c>
      <c r="C170" s="0" t="s">
        <v>200</v>
      </c>
      <c r="D170" s="0" t="s">
        <v>890</v>
      </c>
      <c r="E170" s="0" t="s">
        <v>408</v>
      </c>
      <c r="F170" s="17" t="n">
        <v>0.4375</v>
      </c>
      <c r="G170" s="0" t="s">
        <v>934</v>
      </c>
      <c r="H170" s="0" t="n">
        <v>26</v>
      </c>
      <c r="I170" s="0" t="s">
        <v>17</v>
      </c>
      <c r="J170" s="0" t="s">
        <v>290</v>
      </c>
    </row>
    <row r="171" customFormat="false" ht="12.5" hidden="false" customHeight="false" outlineLevel="0" collapsed="false">
      <c r="A171" s="5" t="n">
        <v>46040</v>
      </c>
      <c r="B171" s="0" t="s">
        <v>936</v>
      </c>
      <c r="C171" s="0" t="s">
        <v>937</v>
      </c>
      <c r="D171" s="0" t="s">
        <v>890</v>
      </c>
      <c r="E171" s="0" t="s">
        <v>14</v>
      </c>
      <c r="F171" s="17" t="n">
        <v>0.6875</v>
      </c>
      <c r="G171" s="0" t="s">
        <v>938</v>
      </c>
      <c r="H171" s="0" t="n">
        <v>13</v>
      </c>
      <c r="I171" s="0" t="s">
        <v>17</v>
      </c>
      <c r="J171" s="0" t="s">
        <v>290</v>
      </c>
    </row>
    <row r="172" customFormat="false" ht="12.5" hidden="false" customHeight="false" outlineLevel="0" collapsed="false">
      <c r="A172" s="5" t="n">
        <v>46040</v>
      </c>
      <c r="B172" s="0" t="s">
        <v>939</v>
      </c>
      <c r="C172" s="0" t="s">
        <v>940</v>
      </c>
      <c r="D172" s="0" t="s">
        <v>890</v>
      </c>
      <c r="E172" s="0" t="s">
        <v>14</v>
      </c>
      <c r="F172" s="17" t="n">
        <v>0.40625</v>
      </c>
      <c r="G172" s="0" t="s">
        <v>941</v>
      </c>
      <c r="H172" s="0" t="n">
        <v>13</v>
      </c>
      <c r="I172" s="0" t="s">
        <v>17</v>
      </c>
      <c r="J172" s="0" t="s">
        <v>290</v>
      </c>
    </row>
    <row r="173" customFormat="false" ht="12.5" hidden="false" customHeight="false" outlineLevel="0" collapsed="false">
      <c r="A173" s="5" t="n">
        <v>46040</v>
      </c>
      <c r="B173" s="0" t="s">
        <v>873</v>
      </c>
      <c r="C173" s="0" t="s">
        <v>942</v>
      </c>
      <c r="D173" s="0" t="s">
        <v>890</v>
      </c>
      <c r="E173" s="0" t="s">
        <v>14</v>
      </c>
      <c r="F173" s="17" t="n">
        <v>0.416666666666667</v>
      </c>
      <c r="G173" s="0" t="s">
        <v>943</v>
      </c>
      <c r="H173" s="0" t="n">
        <v>13</v>
      </c>
      <c r="I173" s="0" t="s">
        <v>17</v>
      </c>
      <c r="J173" s="0" t="s">
        <v>290</v>
      </c>
    </row>
    <row r="174" customFormat="false" ht="12.5" hidden="false" customHeight="false" outlineLevel="0" collapsed="false">
      <c r="A174" s="5" t="n">
        <v>46040</v>
      </c>
      <c r="B174" s="0" t="s">
        <v>944</v>
      </c>
      <c r="C174" s="0" t="s">
        <v>945</v>
      </c>
      <c r="D174" s="0" t="s">
        <v>890</v>
      </c>
      <c r="E174" s="0" t="s">
        <v>14</v>
      </c>
      <c r="F174" s="17" t="n">
        <v>0.416666666666667</v>
      </c>
      <c r="H174" s="0" t="n">
        <v>13</v>
      </c>
      <c r="I174" s="0" t="s">
        <v>17</v>
      </c>
      <c r="J174" s="0" t="s">
        <v>290</v>
      </c>
    </row>
    <row r="175" customFormat="false" ht="12.5" hidden="false" customHeight="false" outlineLevel="0" collapsed="false">
      <c r="A175" s="5" t="n">
        <v>46040</v>
      </c>
      <c r="B175" s="0" t="s">
        <v>946</v>
      </c>
      <c r="C175" s="0" t="s">
        <v>947</v>
      </c>
      <c r="D175" s="0" t="s">
        <v>890</v>
      </c>
      <c r="E175" s="0" t="s">
        <v>14</v>
      </c>
      <c r="F175" s="17" t="n">
        <v>0.416666666666667</v>
      </c>
      <c r="H175" s="0" t="n">
        <v>13</v>
      </c>
      <c r="I175" s="0" t="s">
        <v>17</v>
      </c>
      <c r="J175" s="0" t="s">
        <v>290</v>
      </c>
    </row>
    <row r="176" customFormat="false" ht="12.5" hidden="false" customHeight="false" outlineLevel="0" collapsed="false">
      <c r="A176" s="5" t="n">
        <v>46040</v>
      </c>
      <c r="B176" s="0" t="s">
        <v>948</v>
      </c>
      <c r="C176" s="0" t="s">
        <v>949</v>
      </c>
      <c r="D176" s="0" t="s">
        <v>890</v>
      </c>
      <c r="E176" s="0" t="s">
        <v>14</v>
      </c>
      <c r="F176" s="17" t="n">
        <v>0.416666666666667</v>
      </c>
      <c r="G176" s="0" t="s">
        <v>950</v>
      </c>
      <c r="H176" s="0" t="n">
        <v>13</v>
      </c>
      <c r="I176" s="0" t="s">
        <v>17</v>
      </c>
      <c r="J176" s="0" t="s">
        <v>290</v>
      </c>
    </row>
    <row r="177" customFormat="false" ht="12.5" hidden="false" customHeight="false" outlineLevel="0" collapsed="false">
      <c r="A177" s="5" t="n">
        <v>46047</v>
      </c>
      <c r="B177" s="0" t="s">
        <v>951</v>
      </c>
      <c r="C177" s="0" t="s">
        <v>939</v>
      </c>
      <c r="D177" s="0" t="s">
        <v>890</v>
      </c>
      <c r="E177" s="0" t="s">
        <v>14</v>
      </c>
      <c r="F177" s="17" t="n">
        <v>0.416666666666667</v>
      </c>
      <c r="H177" s="0" t="n">
        <v>14</v>
      </c>
      <c r="I177" s="0" t="s">
        <v>17</v>
      </c>
      <c r="J177" s="0" t="s">
        <v>290</v>
      </c>
    </row>
    <row r="178" customFormat="false" ht="12.5" hidden="false" customHeight="false" outlineLevel="0" collapsed="false">
      <c r="A178" s="5" t="n">
        <v>46047</v>
      </c>
      <c r="B178" s="0" t="s">
        <v>937</v>
      </c>
      <c r="C178" s="0" t="s">
        <v>944</v>
      </c>
      <c r="D178" s="0" t="s">
        <v>890</v>
      </c>
      <c r="E178" s="0" t="s">
        <v>14</v>
      </c>
      <c r="F178" s="17" t="n">
        <v>0.708333333333333</v>
      </c>
      <c r="H178" s="0" t="n">
        <v>14</v>
      </c>
      <c r="I178" s="0" t="s">
        <v>17</v>
      </c>
      <c r="J178" s="0" t="s">
        <v>290</v>
      </c>
    </row>
    <row r="179" customFormat="false" ht="12.5" hidden="false" customHeight="false" outlineLevel="0" collapsed="false">
      <c r="A179" s="5" t="n">
        <v>46047</v>
      </c>
      <c r="B179" s="0" t="s">
        <v>940</v>
      </c>
      <c r="C179" s="0" t="s">
        <v>949</v>
      </c>
      <c r="D179" s="0" t="s">
        <v>890</v>
      </c>
      <c r="E179" s="0" t="s">
        <v>14</v>
      </c>
      <c r="F179" s="17" t="n">
        <v>0.458333333333333</v>
      </c>
      <c r="G179" s="0" t="s">
        <v>952</v>
      </c>
      <c r="H179" s="0" t="n">
        <v>14</v>
      </c>
      <c r="I179" s="0" t="s">
        <v>17</v>
      </c>
      <c r="J179" s="0" t="s">
        <v>290</v>
      </c>
    </row>
    <row r="180" customFormat="false" ht="12.5" hidden="false" customHeight="false" outlineLevel="0" collapsed="false">
      <c r="A180" s="5" t="n">
        <v>46047</v>
      </c>
      <c r="B180" s="0" t="s">
        <v>873</v>
      </c>
      <c r="C180" s="0" t="s">
        <v>936</v>
      </c>
      <c r="D180" s="0" t="s">
        <v>890</v>
      </c>
      <c r="E180" s="0" t="s">
        <v>14</v>
      </c>
      <c r="F180" s="17" t="n">
        <v>0.416666666666667</v>
      </c>
      <c r="G180" s="0" t="s">
        <v>943</v>
      </c>
      <c r="H180" s="0" t="n">
        <v>14</v>
      </c>
      <c r="I180" s="0" t="s">
        <v>17</v>
      </c>
      <c r="J180" s="0" t="s">
        <v>290</v>
      </c>
    </row>
    <row r="181" customFormat="false" ht="12.5" hidden="false" customHeight="false" outlineLevel="0" collapsed="false">
      <c r="A181" s="5" t="n">
        <v>46047</v>
      </c>
      <c r="B181" s="0" t="s">
        <v>942</v>
      </c>
      <c r="C181" s="0" t="s">
        <v>946</v>
      </c>
      <c r="D181" s="0" t="s">
        <v>890</v>
      </c>
      <c r="E181" s="0" t="s">
        <v>14</v>
      </c>
      <c r="F181" s="17" t="n">
        <v>0.375</v>
      </c>
      <c r="G181" s="0" t="s">
        <v>953</v>
      </c>
      <c r="H181" s="0" t="n">
        <v>14</v>
      </c>
      <c r="I181" s="0" t="s">
        <v>17</v>
      </c>
      <c r="J181" s="0" t="s">
        <v>290</v>
      </c>
    </row>
    <row r="182" customFormat="false" ht="12.5" hidden="false" customHeight="false" outlineLevel="0" collapsed="false">
      <c r="A182" s="5" t="n">
        <v>46047</v>
      </c>
      <c r="B182" s="0" t="s">
        <v>947</v>
      </c>
      <c r="C182" s="0" t="s">
        <v>948</v>
      </c>
      <c r="D182" s="0" t="s">
        <v>890</v>
      </c>
      <c r="E182" s="0" t="s">
        <v>14</v>
      </c>
      <c r="F182" s="17" t="n">
        <v>0.416666666666667</v>
      </c>
      <c r="H182" s="0" t="n">
        <v>14</v>
      </c>
      <c r="I182" s="0" t="s">
        <v>17</v>
      </c>
      <c r="J182" s="0" t="s">
        <v>290</v>
      </c>
    </row>
    <row r="183" customFormat="false" ht="12.5" hidden="false" customHeight="false" outlineLevel="0" collapsed="false">
      <c r="A183" s="5" t="n">
        <v>46054</v>
      </c>
      <c r="B183" s="0" t="s">
        <v>945</v>
      </c>
      <c r="C183" s="0" t="s">
        <v>940</v>
      </c>
      <c r="D183" s="0" t="s">
        <v>890</v>
      </c>
      <c r="E183" s="0" t="s">
        <v>14</v>
      </c>
      <c r="F183" s="17" t="n">
        <v>0.375</v>
      </c>
      <c r="H183" s="0" t="n">
        <v>15</v>
      </c>
      <c r="I183" s="0" t="s">
        <v>17</v>
      </c>
      <c r="J183" s="0" t="s">
        <v>290</v>
      </c>
    </row>
    <row r="184" customFormat="false" ht="12.5" hidden="false" customHeight="false" outlineLevel="0" collapsed="false">
      <c r="A184" s="5" t="n">
        <v>46054</v>
      </c>
      <c r="B184" s="0" t="s">
        <v>939</v>
      </c>
      <c r="C184" s="0" t="s">
        <v>937</v>
      </c>
      <c r="D184" s="0" t="s">
        <v>890</v>
      </c>
      <c r="E184" s="0" t="s">
        <v>14</v>
      </c>
      <c r="F184" s="17" t="n">
        <v>0.375</v>
      </c>
      <c r="G184" s="0" t="s">
        <v>941</v>
      </c>
      <c r="H184" s="0" t="n">
        <v>15</v>
      </c>
      <c r="I184" s="0" t="s">
        <v>17</v>
      </c>
      <c r="J184" s="0" t="s">
        <v>290</v>
      </c>
    </row>
    <row r="185" customFormat="false" ht="12.5" hidden="false" customHeight="false" outlineLevel="0" collapsed="false">
      <c r="A185" s="5" t="n">
        <v>46054</v>
      </c>
      <c r="B185" s="0" t="s">
        <v>951</v>
      </c>
      <c r="C185" s="0" t="s">
        <v>936</v>
      </c>
      <c r="D185" s="0" t="s">
        <v>890</v>
      </c>
      <c r="E185" s="0" t="s">
        <v>14</v>
      </c>
      <c r="F185" s="17" t="n">
        <v>0.416666666666667</v>
      </c>
      <c r="H185" s="0" t="n">
        <v>15</v>
      </c>
      <c r="I185" s="0" t="s">
        <v>17</v>
      </c>
      <c r="J185" s="0" t="s">
        <v>290</v>
      </c>
    </row>
    <row r="186" customFormat="false" ht="12.5" hidden="false" customHeight="false" outlineLevel="0" collapsed="false">
      <c r="A186" s="5" t="n">
        <v>46054</v>
      </c>
      <c r="B186" s="0" t="s">
        <v>949</v>
      </c>
      <c r="C186" s="0" t="s">
        <v>942</v>
      </c>
      <c r="D186" s="0" t="s">
        <v>890</v>
      </c>
      <c r="E186" s="0" t="s">
        <v>14</v>
      </c>
      <c r="F186" s="17" t="n">
        <v>0.416666666666667</v>
      </c>
      <c r="G186" s="0" t="s">
        <v>954</v>
      </c>
      <c r="H186" s="0" t="n">
        <v>15</v>
      </c>
      <c r="I186" s="0" t="s">
        <v>17</v>
      </c>
      <c r="J186" s="0" t="s">
        <v>290</v>
      </c>
    </row>
    <row r="187" customFormat="false" ht="12.5" hidden="false" customHeight="false" outlineLevel="0" collapsed="false">
      <c r="A187" s="5" t="n">
        <v>46054</v>
      </c>
      <c r="B187" s="0" t="s">
        <v>946</v>
      </c>
      <c r="C187" s="0" t="s">
        <v>873</v>
      </c>
      <c r="D187" s="0" t="s">
        <v>890</v>
      </c>
      <c r="E187" s="0" t="s">
        <v>14</v>
      </c>
      <c r="F187" s="17" t="n">
        <v>0.416666666666667</v>
      </c>
      <c r="H187" s="0" t="n">
        <v>15</v>
      </c>
      <c r="I187" s="0" t="s">
        <v>17</v>
      </c>
      <c r="J187" s="0" t="s">
        <v>290</v>
      </c>
    </row>
    <row r="188" customFormat="false" ht="12.5" hidden="false" customHeight="false" outlineLevel="0" collapsed="false">
      <c r="A188" s="5" t="n">
        <v>46054</v>
      </c>
      <c r="B188" s="0" t="s">
        <v>947</v>
      </c>
      <c r="C188" s="0" t="s">
        <v>944</v>
      </c>
      <c r="D188" s="0" t="s">
        <v>890</v>
      </c>
      <c r="E188" s="0" t="s">
        <v>14</v>
      </c>
      <c r="F188" s="17" t="n">
        <v>0.416666666666667</v>
      </c>
      <c r="H188" s="0" t="n">
        <v>15</v>
      </c>
      <c r="I188" s="0" t="s">
        <v>17</v>
      </c>
      <c r="J188" s="0" t="s">
        <v>290</v>
      </c>
    </row>
    <row r="189" customFormat="false" ht="12.5" hidden="false" customHeight="false" outlineLevel="0" collapsed="false">
      <c r="A189" s="5" t="n">
        <v>46061</v>
      </c>
      <c r="B189" s="0" t="s">
        <v>937</v>
      </c>
      <c r="C189" s="0" t="s">
        <v>945</v>
      </c>
      <c r="D189" s="0" t="s">
        <v>890</v>
      </c>
      <c r="E189" s="0" t="s">
        <v>14</v>
      </c>
      <c r="F189" s="17" t="n">
        <v>0.708333333333333</v>
      </c>
      <c r="H189" s="0" t="n">
        <v>16</v>
      </c>
      <c r="I189" s="0" t="s">
        <v>17</v>
      </c>
      <c r="J189" s="0" t="s">
        <v>290</v>
      </c>
    </row>
    <row r="190" customFormat="false" ht="12.5" hidden="false" customHeight="false" outlineLevel="0" collapsed="false">
      <c r="A190" s="5" t="n">
        <v>46060</v>
      </c>
      <c r="B190" s="0" t="s">
        <v>936</v>
      </c>
      <c r="C190" s="0" t="s">
        <v>940</v>
      </c>
      <c r="D190" s="0" t="s">
        <v>890</v>
      </c>
      <c r="E190" s="0" t="s">
        <v>14</v>
      </c>
      <c r="F190" s="17" t="n">
        <v>0.6875</v>
      </c>
      <c r="G190" s="0" t="s">
        <v>938</v>
      </c>
      <c r="H190" s="0" t="n">
        <v>16</v>
      </c>
      <c r="I190" s="0" t="s">
        <v>17</v>
      </c>
      <c r="J190" s="0" t="s">
        <v>290</v>
      </c>
    </row>
    <row r="191" customFormat="false" ht="12.5" hidden="false" customHeight="false" outlineLevel="0" collapsed="false">
      <c r="A191" s="5" t="n">
        <v>46061</v>
      </c>
      <c r="B191" s="0" t="s">
        <v>942</v>
      </c>
      <c r="C191" s="0" t="s">
        <v>939</v>
      </c>
      <c r="D191" s="0" t="s">
        <v>890</v>
      </c>
      <c r="E191" s="0" t="s">
        <v>14</v>
      </c>
      <c r="F191" s="17" t="n">
        <v>0.375</v>
      </c>
      <c r="G191" s="0" t="s">
        <v>953</v>
      </c>
      <c r="H191" s="0" t="n">
        <v>16</v>
      </c>
      <c r="I191" s="0" t="s">
        <v>17</v>
      </c>
      <c r="J191" s="0" t="s">
        <v>290</v>
      </c>
    </row>
    <row r="192" customFormat="false" ht="12.5" hidden="false" customHeight="false" outlineLevel="0" collapsed="false">
      <c r="A192" s="5" t="n">
        <v>46061</v>
      </c>
      <c r="B192" s="0" t="s">
        <v>944</v>
      </c>
      <c r="C192" s="0" t="s">
        <v>873</v>
      </c>
      <c r="D192" s="0" t="s">
        <v>890</v>
      </c>
      <c r="E192" s="0" t="s">
        <v>14</v>
      </c>
      <c r="F192" s="17" t="n">
        <v>0.416666666666667</v>
      </c>
      <c r="H192" s="0" t="n">
        <v>16</v>
      </c>
      <c r="I192" s="0" t="s">
        <v>17</v>
      </c>
      <c r="J192" s="0" t="s">
        <v>290</v>
      </c>
    </row>
    <row r="193" customFormat="false" ht="12.5" hidden="false" customHeight="false" outlineLevel="0" collapsed="false">
      <c r="A193" s="5" t="n">
        <v>46061</v>
      </c>
      <c r="B193" s="0" t="s">
        <v>948</v>
      </c>
      <c r="C193" s="0" t="s">
        <v>951</v>
      </c>
      <c r="D193" s="0" t="s">
        <v>890</v>
      </c>
      <c r="E193" s="0" t="s">
        <v>14</v>
      </c>
      <c r="F193" s="17" t="n">
        <v>0.416666666666667</v>
      </c>
      <c r="G193" s="0" t="s">
        <v>950</v>
      </c>
      <c r="H193" s="0" t="n">
        <v>16</v>
      </c>
      <c r="I193" s="0" t="s">
        <v>17</v>
      </c>
      <c r="J193" s="0" t="s">
        <v>290</v>
      </c>
    </row>
    <row r="194" customFormat="false" ht="12.5" hidden="false" customHeight="false" outlineLevel="0" collapsed="false">
      <c r="A194" s="5" t="n">
        <v>46061</v>
      </c>
      <c r="B194" s="0" t="s">
        <v>949</v>
      </c>
      <c r="C194" s="0" t="s">
        <v>946</v>
      </c>
      <c r="D194" s="0" t="s">
        <v>890</v>
      </c>
      <c r="E194" s="0" t="s">
        <v>14</v>
      </c>
      <c r="F194" s="17" t="n">
        <v>0.416666666666667</v>
      </c>
      <c r="G194" s="0" t="s">
        <v>954</v>
      </c>
      <c r="H194" s="0" t="n">
        <v>16</v>
      </c>
      <c r="I194" s="0" t="s">
        <v>17</v>
      </c>
      <c r="J194" s="0" t="s">
        <v>290</v>
      </c>
    </row>
    <row r="195" customFormat="false" ht="12.5" hidden="false" customHeight="false" outlineLevel="0" collapsed="false">
      <c r="A195" s="5" t="n">
        <v>46068</v>
      </c>
      <c r="B195" s="0" t="s">
        <v>945</v>
      </c>
      <c r="C195" s="0" t="s">
        <v>939</v>
      </c>
      <c r="D195" s="0" t="s">
        <v>890</v>
      </c>
      <c r="E195" s="0" t="s">
        <v>14</v>
      </c>
      <c r="F195" s="17" t="n">
        <v>0.375</v>
      </c>
      <c r="H195" s="0" t="n">
        <v>17</v>
      </c>
      <c r="I195" s="0" t="s">
        <v>17</v>
      </c>
      <c r="J195" s="0" t="s">
        <v>290</v>
      </c>
    </row>
    <row r="196" customFormat="false" ht="12.5" hidden="false" customHeight="false" outlineLevel="0" collapsed="false">
      <c r="A196" s="5" t="n">
        <v>46068</v>
      </c>
      <c r="B196" s="0" t="s">
        <v>940</v>
      </c>
      <c r="C196" s="0" t="s">
        <v>937</v>
      </c>
      <c r="D196" s="0" t="s">
        <v>890</v>
      </c>
      <c r="E196" s="0" t="s">
        <v>14</v>
      </c>
      <c r="F196" s="17" t="n">
        <v>0.458333333333333</v>
      </c>
      <c r="G196" s="0" t="s">
        <v>952</v>
      </c>
      <c r="H196" s="0" t="n">
        <v>17</v>
      </c>
      <c r="I196" s="0" t="s">
        <v>17</v>
      </c>
      <c r="J196" s="0" t="s">
        <v>290</v>
      </c>
    </row>
    <row r="197" customFormat="false" ht="12.5" hidden="false" customHeight="false" outlineLevel="0" collapsed="false">
      <c r="A197" s="5" t="n">
        <v>46068</v>
      </c>
      <c r="B197" s="0" t="s">
        <v>951</v>
      </c>
      <c r="C197" s="0" t="s">
        <v>936</v>
      </c>
      <c r="D197" s="0" t="s">
        <v>890</v>
      </c>
      <c r="E197" s="0" t="s">
        <v>14</v>
      </c>
      <c r="F197" s="17" t="n">
        <v>0.416666666666667</v>
      </c>
      <c r="H197" s="0" t="n">
        <v>17</v>
      </c>
      <c r="I197" s="0" t="s">
        <v>17</v>
      </c>
      <c r="J197" s="0" t="s">
        <v>290</v>
      </c>
    </row>
    <row r="198" customFormat="false" ht="12.5" hidden="false" customHeight="false" outlineLevel="0" collapsed="false">
      <c r="A198" s="5" t="n">
        <v>46068</v>
      </c>
      <c r="B198" s="0" t="s">
        <v>942</v>
      </c>
      <c r="C198" s="0" t="s">
        <v>949</v>
      </c>
      <c r="D198" s="0" t="s">
        <v>890</v>
      </c>
      <c r="E198" s="0" t="s">
        <v>14</v>
      </c>
      <c r="F198" s="17" t="n">
        <v>0.375</v>
      </c>
      <c r="G198" s="0" t="s">
        <v>953</v>
      </c>
      <c r="H198" s="0" t="n">
        <v>17</v>
      </c>
      <c r="I198" s="0" t="s">
        <v>17</v>
      </c>
      <c r="J198" s="0" t="s">
        <v>290</v>
      </c>
    </row>
    <row r="199" customFormat="false" ht="12.5" hidden="false" customHeight="false" outlineLevel="0" collapsed="false">
      <c r="A199" s="5" t="n">
        <v>46068</v>
      </c>
      <c r="B199" s="0" t="s">
        <v>873</v>
      </c>
      <c r="C199" s="0" t="s">
        <v>947</v>
      </c>
      <c r="D199" s="0" t="s">
        <v>890</v>
      </c>
      <c r="E199" s="0" t="s">
        <v>14</v>
      </c>
      <c r="F199" s="17" t="n">
        <v>0.416666666666667</v>
      </c>
      <c r="G199" s="0" t="s">
        <v>943</v>
      </c>
      <c r="H199" s="0" t="n">
        <v>17</v>
      </c>
      <c r="I199" s="0" t="s">
        <v>17</v>
      </c>
      <c r="J199" s="0" t="s">
        <v>290</v>
      </c>
    </row>
    <row r="200" customFormat="false" ht="12.5" hidden="false" customHeight="false" outlineLevel="0" collapsed="false">
      <c r="A200" s="5" t="n">
        <v>46068</v>
      </c>
      <c r="B200" s="0" t="s">
        <v>948</v>
      </c>
      <c r="C200" s="0" t="s">
        <v>944</v>
      </c>
      <c r="D200" s="0" t="s">
        <v>890</v>
      </c>
      <c r="E200" s="0" t="s">
        <v>14</v>
      </c>
      <c r="F200" s="17" t="n">
        <v>0.416666666666667</v>
      </c>
      <c r="G200" s="0" t="s">
        <v>950</v>
      </c>
      <c r="H200" s="0" t="n">
        <v>17</v>
      </c>
      <c r="I200" s="0" t="s">
        <v>17</v>
      </c>
      <c r="J200" s="0" t="s">
        <v>290</v>
      </c>
    </row>
    <row r="201" customFormat="false" ht="12.5" hidden="false" customHeight="false" outlineLevel="0" collapsed="false">
      <c r="A201" s="5" t="n">
        <v>46068</v>
      </c>
      <c r="B201" s="0" t="s">
        <v>945</v>
      </c>
      <c r="C201" s="0" t="s">
        <v>937</v>
      </c>
      <c r="D201" s="0" t="s">
        <v>890</v>
      </c>
      <c r="E201" s="0" t="s">
        <v>14</v>
      </c>
      <c r="F201" s="17" t="n">
        <v>0.375</v>
      </c>
      <c r="H201" s="0" t="n">
        <v>18</v>
      </c>
      <c r="I201" s="0" t="s">
        <v>17</v>
      </c>
      <c r="J201" s="0" t="s">
        <v>290</v>
      </c>
    </row>
    <row r="202" customFormat="false" ht="12.5" hidden="false" customHeight="false" outlineLevel="0" collapsed="false">
      <c r="A202" s="5" t="n">
        <v>46068</v>
      </c>
      <c r="B202" s="0" t="s">
        <v>942</v>
      </c>
      <c r="C202" s="0" t="s">
        <v>940</v>
      </c>
      <c r="D202" s="0" t="s">
        <v>890</v>
      </c>
      <c r="E202" s="0" t="s">
        <v>14</v>
      </c>
      <c r="F202" s="17" t="n">
        <v>0.375</v>
      </c>
      <c r="G202" s="0" t="s">
        <v>953</v>
      </c>
      <c r="H202" s="0" t="n">
        <v>18</v>
      </c>
      <c r="I202" s="0" t="s">
        <v>17</v>
      </c>
      <c r="J202" s="0" t="s">
        <v>290</v>
      </c>
    </row>
    <row r="203" customFormat="false" ht="12.5" hidden="false" customHeight="false" outlineLevel="0" collapsed="false">
      <c r="A203" s="5" t="n">
        <v>46068</v>
      </c>
      <c r="B203" s="0" t="s">
        <v>947</v>
      </c>
      <c r="C203" s="0" t="s">
        <v>949</v>
      </c>
      <c r="D203" s="0" t="s">
        <v>890</v>
      </c>
      <c r="E203" s="0" t="s">
        <v>14</v>
      </c>
      <c r="F203" s="17" t="n">
        <v>0.416666666666667</v>
      </c>
      <c r="H203" s="0" t="n">
        <v>18</v>
      </c>
      <c r="I203" s="0" t="s">
        <v>17</v>
      </c>
      <c r="J203" s="0" t="s">
        <v>290</v>
      </c>
    </row>
    <row r="204" customFormat="false" ht="12.5" hidden="false" customHeight="false" outlineLevel="0" collapsed="false">
      <c r="A204" s="5" t="n">
        <v>46068</v>
      </c>
      <c r="B204" s="0" t="s">
        <v>873</v>
      </c>
      <c r="C204" s="0" t="s">
        <v>951</v>
      </c>
      <c r="D204" s="0" t="s">
        <v>890</v>
      </c>
      <c r="E204" s="0" t="s">
        <v>14</v>
      </c>
      <c r="F204" s="17" t="n">
        <v>0.416666666666667</v>
      </c>
      <c r="G204" s="0" t="s">
        <v>943</v>
      </c>
      <c r="H204" s="0" t="n">
        <v>18</v>
      </c>
      <c r="I204" s="0" t="s">
        <v>17</v>
      </c>
      <c r="J204" s="0" t="s">
        <v>290</v>
      </c>
    </row>
    <row r="205" customFormat="false" ht="12.5" hidden="false" customHeight="false" outlineLevel="0" collapsed="false">
      <c r="A205" s="5" t="n">
        <v>46068</v>
      </c>
      <c r="B205" s="0" t="s">
        <v>944</v>
      </c>
      <c r="C205" s="0" t="s">
        <v>936</v>
      </c>
      <c r="D205" s="0" t="s">
        <v>890</v>
      </c>
      <c r="E205" s="0" t="s">
        <v>14</v>
      </c>
      <c r="F205" s="17" t="n">
        <v>0.416666666666667</v>
      </c>
      <c r="H205" s="0" t="n">
        <v>18</v>
      </c>
      <c r="I205" s="0" t="s">
        <v>17</v>
      </c>
      <c r="J205" s="0" t="s">
        <v>290</v>
      </c>
    </row>
    <row r="206" customFormat="false" ht="12.5" hidden="false" customHeight="false" outlineLevel="0" collapsed="false">
      <c r="A206" s="5" t="n">
        <v>46068</v>
      </c>
      <c r="B206" s="0" t="s">
        <v>946</v>
      </c>
      <c r="C206" s="0" t="s">
        <v>939</v>
      </c>
      <c r="D206" s="0" t="s">
        <v>890</v>
      </c>
      <c r="E206" s="0" t="s">
        <v>14</v>
      </c>
      <c r="F206" s="17" t="n">
        <v>0.416666666666667</v>
      </c>
      <c r="H206" s="0" t="n">
        <v>18</v>
      </c>
      <c r="I206" s="0" t="s">
        <v>17</v>
      </c>
      <c r="J206" s="0" t="s">
        <v>290</v>
      </c>
    </row>
    <row r="207" customFormat="false" ht="12.5" hidden="false" customHeight="false" outlineLevel="0" collapsed="false">
      <c r="A207" s="5" t="n">
        <v>46075</v>
      </c>
      <c r="B207" s="0" t="s">
        <v>947</v>
      </c>
      <c r="C207" s="0" t="s">
        <v>937</v>
      </c>
      <c r="D207" s="0" t="s">
        <v>890</v>
      </c>
      <c r="E207" s="0" t="s">
        <v>14</v>
      </c>
      <c r="F207" s="17" t="n">
        <v>0.416666666666667</v>
      </c>
      <c r="H207" s="0" t="n">
        <v>19</v>
      </c>
      <c r="I207" s="0" t="s">
        <v>17</v>
      </c>
      <c r="J207" s="0" t="s">
        <v>290</v>
      </c>
    </row>
    <row r="208" customFormat="false" ht="12.5" hidden="false" customHeight="false" outlineLevel="0" collapsed="false">
      <c r="A208" s="5" t="n">
        <v>46075</v>
      </c>
      <c r="B208" s="0" t="s">
        <v>942</v>
      </c>
      <c r="C208" s="0" t="s">
        <v>873</v>
      </c>
      <c r="D208" s="0" t="s">
        <v>890</v>
      </c>
      <c r="E208" s="0" t="s">
        <v>14</v>
      </c>
      <c r="F208" s="17" t="n">
        <v>0.375</v>
      </c>
      <c r="G208" s="0" t="s">
        <v>953</v>
      </c>
      <c r="H208" s="0" t="n">
        <v>19</v>
      </c>
      <c r="I208" s="0" t="s">
        <v>17</v>
      </c>
      <c r="J208" s="0" t="s">
        <v>290</v>
      </c>
    </row>
    <row r="209" customFormat="false" ht="12.5" hidden="false" customHeight="false" outlineLevel="0" collapsed="false">
      <c r="A209" s="5" t="n">
        <v>46075</v>
      </c>
      <c r="B209" s="0" t="s">
        <v>940</v>
      </c>
      <c r="C209" s="0" t="s">
        <v>936</v>
      </c>
      <c r="D209" s="0" t="s">
        <v>890</v>
      </c>
      <c r="E209" s="0" t="s">
        <v>14</v>
      </c>
      <c r="F209" s="17" t="n">
        <v>0.458333333333333</v>
      </c>
      <c r="G209" s="0" t="s">
        <v>952</v>
      </c>
      <c r="H209" s="0" t="n">
        <v>19</v>
      </c>
      <c r="I209" s="0" t="s">
        <v>17</v>
      </c>
      <c r="J209" s="0" t="s">
        <v>290</v>
      </c>
    </row>
    <row r="210" customFormat="false" ht="12.5" hidden="false" customHeight="false" outlineLevel="0" collapsed="false">
      <c r="A210" s="5" t="n">
        <v>46075</v>
      </c>
      <c r="B210" s="0" t="s">
        <v>945</v>
      </c>
      <c r="C210" s="0" t="s">
        <v>946</v>
      </c>
      <c r="D210" s="0" t="s">
        <v>890</v>
      </c>
      <c r="E210" s="0" t="s">
        <v>14</v>
      </c>
      <c r="F210" s="17" t="n">
        <v>0.375</v>
      </c>
      <c r="H210" s="0" t="n">
        <v>19</v>
      </c>
      <c r="I210" s="0" t="s">
        <v>17</v>
      </c>
      <c r="J210" s="0" t="s">
        <v>290</v>
      </c>
    </row>
    <row r="211" customFormat="false" ht="12.5" hidden="false" customHeight="false" outlineLevel="0" collapsed="false">
      <c r="A211" s="5" t="n">
        <v>46075</v>
      </c>
      <c r="B211" s="0" t="s">
        <v>944</v>
      </c>
      <c r="C211" s="0" t="s">
        <v>951</v>
      </c>
      <c r="D211" s="0" t="s">
        <v>890</v>
      </c>
      <c r="E211" s="0" t="s">
        <v>14</v>
      </c>
      <c r="F211" s="17" t="n">
        <v>0.416666666666667</v>
      </c>
      <c r="H211" s="0" t="n">
        <v>19</v>
      </c>
      <c r="I211" s="0" t="s">
        <v>17</v>
      </c>
      <c r="J211" s="0" t="s">
        <v>290</v>
      </c>
    </row>
    <row r="212" customFormat="false" ht="12.5" hidden="false" customHeight="false" outlineLevel="0" collapsed="false">
      <c r="A212" s="5" t="n">
        <v>46075</v>
      </c>
      <c r="B212" s="0" t="s">
        <v>949</v>
      </c>
      <c r="C212" s="0" t="s">
        <v>939</v>
      </c>
      <c r="D212" s="0" t="s">
        <v>890</v>
      </c>
      <c r="E212" s="0" t="s">
        <v>14</v>
      </c>
      <c r="F212" s="17" t="n">
        <v>0.416666666666667</v>
      </c>
      <c r="G212" s="0" t="s">
        <v>954</v>
      </c>
      <c r="H212" s="0" t="n">
        <v>19</v>
      </c>
      <c r="I212" s="0" t="s">
        <v>17</v>
      </c>
      <c r="J212" s="0" t="s">
        <v>290</v>
      </c>
    </row>
    <row r="213" customFormat="false" ht="12.5" hidden="false" customHeight="false" outlineLevel="0" collapsed="false">
      <c r="A213" s="5" t="n">
        <v>46082</v>
      </c>
      <c r="B213" s="0" t="s">
        <v>945</v>
      </c>
      <c r="C213" s="0" t="s">
        <v>936</v>
      </c>
      <c r="D213" s="0" t="s">
        <v>890</v>
      </c>
      <c r="E213" s="0" t="s">
        <v>14</v>
      </c>
      <c r="F213" s="17" t="n">
        <v>0.375</v>
      </c>
      <c r="H213" s="0" t="n">
        <v>20</v>
      </c>
      <c r="I213" s="0" t="s">
        <v>17</v>
      </c>
      <c r="J213" s="0" t="s">
        <v>290</v>
      </c>
    </row>
    <row r="214" customFormat="false" ht="12.5" hidden="false" customHeight="false" outlineLevel="0" collapsed="false">
      <c r="A214" s="5" t="n">
        <v>46082</v>
      </c>
      <c r="B214" s="0" t="s">
        <v>873</v>
      </c>
      <c r="C214" s="0" t="s">
        <v>937</v>
      </c>
      <c r="D214" s="0" t="s">
        <v>890</v>
      </c>
      <c r="E214" s="0" t="s">
        <v>14</v>
      </c>
      <c r="F214" s="17" t="n">
        <v>0.416666666666667</v>
      </c>
      <c r="G214" s="0" t="s">
        <v>943</v>
      </c>
      <c r="H214" s="0" t="n">
        <v>20</v>
      </c>
      <c r="I214" s="0" t="s">
        <v>17</v>
      </c>
      <c r="J214" s="0" t="s">
        <v>290</v>
      </c>
    </row>
    <row r="215" customFormat="false" ht="12.5" hidden="false" customHeight="false" outlineLevel="0" collapsed="false">
      <c r="A215" s="5" t="n">
        <v>46082</v>
      </c>
      <c r="B215" s="0" t="s">
        <v>939</v>
      </c>
      <c r="C215" s="0" t="s">
        <v>944</v>
      </c>
      <c r="D215" s="0" t="s">
        <v>890</v>
      </c>
      <c r="E215" s="0" t="s">
        <v>14</v>
      </c>
      <c r="F215" s="17" t="n">
        <v>0.40625</v>
      </c>
      <c r="G215" s="0" t="s">
        <v>941</v>
      </c>
      <c r="H215" s="0" t="n">
        <v>20</v>
      </c>
      <c r="I215" s="0" t="s">
        <v>17</v>
      </c>
      <c r="J215" s="0" t="s">
        <v>290</v>
      </c>
    </row>
    <row r="216" customFormat="false" ht="12.5" hidden="false" customHeight="false" outlineLevel="0" collapsed="false">
      <c r="A216" s="5" t="n">
        <v>46082</v>
      </c>
      <c r="B216" s="0" t="s">
        <v>942</v>
      </c>
      <c r="C216" s="0" t="s">
        <v>945</v>
      </c>
      <c r="D216" s="0" t="s">
        <v>890</v>
      </c>
      <c r="E216" s="0" t="s">
        <v>14</v>
      </c>
      <c r="F216" s="17" t="n">
        <v>0.375</v>
      </c>
      <c r="G216" s="0" t="s">
        <v>953</v>
      </c>
      <c r="H216" s="0" t="n">
        <v>20</v>
      </c>
      <c r="I216" s="0" t="s">
        <v>17</v>
      </c>
      <c r="J216" s="0" t="s">
        <v>290</v>
      </c>
    </row>
    <row r="217" customFormat="false" ht="12.5" hidden="false" customHeight="false" outlineLevel="0" collapsed="false">
      <c r="A217" s="5" t="n">
        <v>46082</v>
      </c>
      <c r="B217" s="0" t="s">
        <v>946</v>
      </c>
      <c r="C217" s="0" t="s">
        <v>940</v>
      </c>
      <c r="D217" s="0" t="s">
        <v>890</v>
      </c>
      <c r="E217" s="0" t="s">
        <v>14</v>
      </c>
      <c r="F217" s="17" t="n">
        <v>0.416666666666667</v>
      </c>
      <c r="H217" s="0" t="n">
        <v>20</v>
      </c>
      <c r="I217" s="0" t="s">
        <v>17</v>
      </c>
      <c r="J217" s="0" t="s">
        <v>290</v>
      </c>
    </row>
    <row r="218" customFormat="false" ht="12.5" hidden="false" customHeight="false" outlineLevel="0" collapsed="false">
      <c r="A218" s="5" t="n">
        <v>46082</v>
      </c>
      <c r="B218" s="0" t="s">
        <v>951</v>
      </c>
      <c r="C218" s="0" t="s">
        <v>949</v>
      </c>
      <c r="D218" s="0" t="s">
        <v>890</v>
      </c>
      <c r="E218" s="0" t="s">
        <v>14</v>
      </c>
      <c r="F218" s="17" t="n">
        <v>0.416666666666667</v>
      </c>
      <c r="H218" s="0" t="n">
        <v>20</v>
      </c>
      <c r="I218" s="0" t="s">
        <v>17</v>
      </c>
      <c r="J218" s="0" t="s">
        <v>290</v>
      </c>
    </row>
    <row r="219" customFormat="false" ht="12.5" hidden="false" customHeight="false" outlineLevel="0" collapsed="false">
      <c r="A219" s="5" t="n">
        <v>46090</v>
      </c>
      <c r="B219" s="0" t="s">
        <v>937</v>
      </c>
      <c r="C219" s="0" t="s">
        <v>946</v>
      </c>
      <c r="D219" s="0" t="s">
        <v>890</v>
      </c>
      <c r="E219" s="0" t="s">
        <v>14</v>
      </c>
      <c r="F219" s="17" t="n">
        <v>0.708333333333333</v>
      </c>
      <c r="H219" s="0" t="n">
        <v>21</v>
      </c>
      <c r="I219" s="0" t="s">
        <v>17</v>
      </c>
      <c r="J219" s="0" t="s">
        <v>290</v>
      </c>
    </row>
    <row r="220" customFormat="false" ht="12.5" hidden="false" customHeight="false" outlineLevel="0" collapsed="false">
      <c r="A220" s="5" t="n">
        <v>46089</v>
      </c>
      <c r="B220" s="0" t="s">
        <v>936</v>
      </c>
      <c r="C220" s="0" t="s">
        <v>945</v>
      </c>
      <c r="D220" s="0" t="s">
        <v>890</v>
      </c>
      <c r="E220" s="0" t="s">
        <v>14</v>
      </c>
      <c r="F220" s="17" t="n">
        <v>0.6875</v>
      </c>
      <c r="G220" s="0" t="s">
        <v>938</v>
      </c>
      <c r="H220" s="0" t="n">
        <v>21</v>
      </c>
      <c r="I220" s="0" t="s">
        <v>17</v>
      </c>
      <c r="J220" s="0" t="s">
        <v>290</v>
      </c>
    </row>
    <row r="221" customFormat="false" ht="12.5" hidden="false" customHeight="false" outlineLevel="0" collapsed="false">
      <c r="A221" s="5" t="n">
        <v>46090</v>
      </c>
      <c r="B221" s="0" t="s">
        <v>942</v>
      </c>
      <c r="C221" s="0" t="s">
        <v>939</v>
      </c>
      <c r="D221" s="0" t="s">
        <v>890</v>
      </c>
      <c r="E221" s="0" t="s">
        <v>14</v>
      </c>
      <c r="F221" s="17" t="n">
        <v>0.375</v>
      </c>
      <c r="G221" s="0" t="s">
        <v>953</v>
      </c>
      <c r="H221" s="0" t="n">
        <v>21</v>
      </c>
      <c r="I221" s="0" t="s">
        <v>17</v>
      </c>
      <c r="J221" s="0" t="s">
        <v>290</v>
      </c>
    </row>
    <row r="222" customFormat="false" ht="12.5" hidden="false" customHeight="false" outlineLevel="0" collapsed="false">
      <c r="A222" s="5" t="n">
        <v>46090</v>
      </c>
      <c r="B222" s="0" t="s">
        <v>940</v>
      </c>
      <c r="C222" s="0" t="s">
        <v>944</v>
      </c>
      <c r="D222" s="0" t="s">
        <v>890</v>
      </c>
      <c r="E222" s="0" t="s">
        <v>14</v>
      </c>
      <c r="F222" s="17" t="n">
        <v>0.458333333333333</v>
      </c>
      <c r="G222" s="0" t="s">
        <v>952</v>
      </c>
      <c r="H222" s="0" t="n">
        <v>21</v>
      </c>
      <c r="I222" s="0" t="s">
        <v>17</v>
      </c>
      <c r="J222" s="0" t="s">
        <v>290</v>
      </c>
    </row>
    <row r="223" customFormat="false" ht="12.5" hidden="false" customHeight="false" outlineLevel="0" collapsed="false">
      <c r="A223" s="5" t="n">
        <v>46090</v>
      </c>
      <c r="B223" s="0" t="s">
        <v>949</v>
      </c>
      <c r="C223" s="0" t="s">
        <v>873</v>
      </c>
      <c r="D223" s="0" t="s">
        <v>890</v>
      </c>
      <c r="E223" s="0" t="s">
        <v>14</v>
      </c>
      <c r="F223" s="17" t="n">
        <v>0.416666666666667</v>
      </c>
      <c r="G223" s="0" t="s">
        <v>954</v>
      </c>
      <c r="H223" s="0" t="n">
        <v>21</v>
      </c>
      <c r="I223" s="0" t="s">
        <v>17</v>
      </c>
      <c r="J223" s="0" t="s">
        <v>290</v>
      </c>
    </row>
    <row r="224" customFormat="false" ht="12.5" hidden="false" customHeight="false" outlineLevel="0" collapsed="false">
      <c r="A224" s="5" t="n">
        <v>46090</v>
      </c>
      <c r="B224" s="0" t="s">
        <v>951</v>
      </c>
      <c r="C224" s="0" t="s">
        <v>947</v>
      </c>
      <c r="D224" s="0" t="s">
        <v>890</v>
      </c>
      <c r="E224" s="0" t="s">
        <v>14</v>
      </c>
      <c r="F224" s="17" t="n">
        <v>0.416666666666667</v>
      </c>
      <c r="H224" s="0" t="n">
        <v>21</v>
      </c>
      <c r="I224" s="0" t="s">
        <v>17</v>
      </c>
      <c r="J224" s="0" t="s">
        <v>290</v>
      </c>
    </row>
    <row r="225" customFormat="false" ht="12.5" hidden="false" customHeight="false" outlineLevel="0" collapsed="false">
      <c r="A225" s="5" t="n">
        <v>46096</v>
      </c>
      <c r="B225" s="0" t="s">
        <v>945</v>
      </c>
      <c r="C225" s="0" t="s">
        <v>873</v>
      </c>
      <c r="D225" s="0" t="s">
        <v>890</v>
      </c>
      <c r="E225" s="0" t="s">
        <v>14</v>
      </c>
      <c r="F225" s="17" t="n">
        <v>0.375</v>
      </c>
      <c r="H225" s="0" t="n">
        <v>22</v>
      </c>
      <c r="I225" s="0" t="s">
        <v>17</v>
      </c>
      <c r="J225" s="0" t="s">
        <v>290</v>
      </c>
    </row>
    <row r="226" customFormat="false" ht="12.5" hidden="false" customHeight="false" outlineLevel="0" collapsed="false">
      <c r="A226" s="5" t="n">
        <v>46096</v>
      </c>
      <c r="B226" s="0" t="s">
        <v>942</v>
      </c>
      <c r="C226" s="0" t="s">
        <v>939</v>
      </c>
      <c r="D226" s="0" t="s">
        <v>890</v>
      </c>
      <c r="E226" s="0" t="s">
        <v>14</v>
      </c>
      <c r="F226" s="17" t="n">
        <v>0.375</v>
      </c>
      <c r="G226" s="0" t="s">
        <v>953</v>
      </c>
      <c r="H226" s="0" t="n">
        <v>22</v>
      </c>
      <c r="I226" s="0" t="s">
        <v>17</v>
      </c>
      <c r="J226" s="0" t="s">
        <v>290</v>
      </c>
    </row>
    <row r="227" customFormat="false" ht="12.5" hidden="false" customHeight="false" outlineLevel="0" collapsed="false">
      <c r="A227" s="5" t="n">
        <v>46096</v>
      </c>
      <c r="B227" s="0" t="s">
        <v>947</v>
      </c>
      <c r="C227" s="0" t="s">
        <v>951</v>
      </c>
      <c r="D227" s="0" t="s">
        <v>890</v>
      </c>
      <c r="E227" s="0" t="s">
        <v>14</v>
      </c>
      <c r="F227" s="17" t="n">
        <v>0.416666666666667</v>
      </c>
      <c r="H227" s="0" t="n">
        <v>22</v>
      </c>
      <c r="I227" s="0" t="s">
        <v>17</v>
      </c>
      <c r="J227" s="0" t="s">
        <v>290</v>
      </c>
    </row>
    <row r="228" customFormat="false" ht="12.5" hidden="false" customHeight="false" outlineLevel="0" collapsed="false">
      <c r="A228" s="5" t="n">
        <v>46096</v>
      </c>
      <c r="B228" s="0" t="s">
        <v>949</v>
      </c>
      <c r="C228" s="0" t="s">
        <v>948</v>
      </c>
      <c r="D228" s="0" t="s">
        <v>890</v>
      </c>
      <c r="E228" s="0" t="s">
        <v>14</v>
      </c>
      <c r="F228" s="17" t="n">
        <v>0.416666666666667</v>
      </c>
      <c r="G228" s="0" t="s">
        <v>954</v>
      </c>
      <c r="H228" s="0" t="n">
        <v>22</v>
      </c>
      <c r="I228" s="0" t="s">
        <v>17</v>
      </c>
      <c r="J228" s="0" t="s">
        <v>290</v>
      </c>
    </row>
    <row r="229" customFormat="false" ht="12.5" hidden="false" customHeight="false" outlineLevel="0" collapsed="false">
      <c r="A229" s="5" t="n">
        <v>46096</v>
      </c>
      <c r="B229" s="0" t="s">
        <v>946</v>
      </c>
      <c r="C229" s="0" t="s">
        <v>936</v>
      </c>
      <c r="D229" s="0" t="s">
        <v>890</v>
      </c>
      <c r="E229" s="0" t="s">
        <v>14</v>
      </c>
      <c r="F229" s="17" t="n">
        <v>0.416666666666667</v>
      </c>
      <c r="H229" s="0" t="n">
        <v>22</v>
      </c>
      <c r="I229" s="0" t="s">
        <v>17</v>
      </c>
      <c r="J229" s="0" t="s">
        <v>290</v>
      </c>
    </row>
    <row r="230" customFormat="false" ht="12.5" hidden="false" customHeight="false" outlineLevel="0" collapsed="false">
      <c r="A230" s="5" t="n">
        <v>46096</v>
      </c>
      <c r="B230" s="0" t="s">
        <v>940</v>
      </c>
      <c r="C230" s="0" t="s">
        <v>937</v>
      </c>
      <c r="D230" s="0" t="s">
        <v>890</v>
      </c>
      <c r="E230" s="0" t="s">
        <v>14</v>
      </c>
      <c r="F230" s="17" t="n">
        <v>0.458333333333333</v>
      </c>
      <c r="G230" s="0" t="s">
        <v>952</v>
      </c>
      <c r="H230" s="0" t="n">
        <v>22</v>
      </c>
      <c r="I230" s="0" t="s">
        <v>17</v>
      </c>
      <c r="J230" s="0" t="s">
        <v>290</v>
      </c>
    </row>
    <row r="231" customFormat="false" ht="12.5" hidden="false" customHeight="false" outlineLevel="0" collapsed="false">
      <c r="A231" s="5" t="n">
        <v>46103</v>
      </c>
      <c r="B231" s="0" t="s">
        <v>936</v>
      </c>
      <c r="C231" s="0" t="s">
        <v>948</v>
      </c>
      <c r="D231" s="0" t="s">
        <v>890</v>
      </c>
      <c r="E231" s="0" t="s">
        <v>14</v>
      </c>
      <c r="F231" s="17" t="n">
        <v>0.6875</v>
      </c>
      <c r="G231" s="0" t="s">
        <v>938</v>
      </c>
      <c r="H231" s="0" t="n">
        <v>23</v>
      </c>
      <c r="I231" s="0" t="s">
        <v>17</v>
      </c>
      <c r="J231" s="0" t="s">
        <v>290</v>
      </c>
    </row>
    <row r="232" customFormat="false" ht="12.5" hidden="false" customHeight="false" outlineLevel="0" collapsed="false">
      <c r="A232" s="5" t="n">
        <v>46103</v>
      </c>
      <c r="B232" s="0" t="s">
        <v>937</v>
      </c>
      <c r="C232" s="0" t="s">
        <v>949</v>
      </c>
      <c r="D232" s="0" t="s">
        <v>890</v>
      </c>
      <c r="E232" s="0" t="s">
        <v>14</v>
      </c>
      <c r="F232" s="17" t="n">
        <v>0.708333333333333</v>
      </c>
      <c r="H232" s="0" t="n">
        <v>23</v>
      </c>
      <c r="I232" s="0" t="s">
        <v>17</v>
      </c>
      <c r="J232" s="0" t="s">
        <v>290</v>
      </c>
    </row>
    <row r="233" customFormat="false" ht="12.5" hidden="false" customHeight="false" outlineLevel="0" collapsed="false">
      <c r="A233" s="5" t="n">
        <v>46104</v>
      </c>
      <c r="B233" s="0" t="s">
        <v>939</v>
      </c>
      <c r="C233" s="0" t="s">
        <v>940</v>
      </c>
      <c r="D233" s="0" t="s">
        <v>890</v>
      </c>
      <c r="E233" s="0" t="s">
        <v>14</v>
      </c>
      <c r="F233" s="17" t="n">
        <v>0.40625</v>
      </c>
      <c r="G233" s="0" t="s">
        <v>941</v>
      </c>
      <c r="H233" s="0" t="n">
        <v>23</v>
      </c>
      <c r="I233" s="0" t="s">
        <v>17</v>
      </c>
      <c r="J233" s="0" t="s">
        <v>290</v>
      </c>
    </row>
    <row r="234" customFormat="false" ht="12.5" hidden="false" customHeight="false" outlineLevel="0" collapsed="false">
      <c r="A234" s="5" t="n">
        <v>46104</v>
      </c>
      <c r="B234" s="0" t="s">
        <v>944</v>
      </c>
      <c r="C234" s="0" t="s">
        <v>947</v>
      </c>
      <c r="D234" s="0" t="s">
        <v>890</v>
      </c>
      <c r="E234" s="0" t="s">
        <v>14</v>
      </c>
      <c r="F234" s="17" t="n">
        <v>0.416666666666667</v>
      </c>
      <c r="H234" s="0" t="n">
        <v>23</v>
      </c>
      <c r="I234" s="0" t="s">
        <v>17</v>
      </c>
      <c r="J234" s="0" t="s">
        <v>290</v>
      </c>
    </row>
    <row r="235" customFormat="false" ht="12.5" hidden="false" customHeight="false" outlineLevel="0" collapsed="false">
      <c r="A235" s="5" t="n">
        <v>46104</v>
      </c>
      <c r="B235" s="0" t="s">
        <v>946</v>
      </c>
      <c r="C235" s="0" t="s">
        <v>945</v>
      </c>
      <c r="D235" s="0" t="s">
        <v>890</v>
      </c>
      <c r="E235" s="0" t="s">
        <v>14</v>
      </c>
      <c r="F235" s="17" t="n">
        <v>0.416666666666667</v>
      </c>
      <c r="H235" s="0" t="n">
        <v>23</v>
      </c>
      <c r="I235" s="0" t="s">
        <v>17</v>
      </c>
      <c r="J235" s="0" t="s">
        <v>290</v>
      </c>
    </row>
    <row r="236" customFormat="false" ht="12.5" hidden="false" customHeight="false" outlineLevel="0" collapsed="false">
      <c r="A236" s="5" t="n">
        <v>46104</v>
      </c>
      <c r="B236" s="0" t="s">
        <v>951</v>
      </c>
      <c r="C236" s="0" t="s">
        <v>942</v>
      </c>
      <c r="D236" s="0" t="s">
        <v>890</v>
      </c>
      <c r="E236" s="0" t="s">
        <v>14</v>
      </c>
      <c r="F236" s="17" t="n">
        <v>0.416666666666667</v>
      </c>
      <c r="H236" s="0" t="n">
        <v>23</v>
      </c>
      <c r="I236" s="0" t="s">
        <v>17</v>
      </c>
      <c r="J236" s="0" t="s">
        <v>290</v>
      </c>
    </row>
    <row r="237" customFormat="false" ht="12.5" hidden="false" customHeight="false" outlineLevel="0" collapsed="false">
      <c r="A237" s="5" t="n">
        <v>46110</v>
      </c>
      <c r="B237" s="0" t="s">
        <v>945</v>
      </c>
      <c r="C237" s="0" t="s">
        <v>936</v>
      </c>
      <c r="D237" s="0" t="s">
        <v>890</v>
      </c>
      <c r="E237" s="0" t="s">
        <v>14</v>
      </c>
      <c r="F237" s="17" t="n">
        <v>0.375</v>
      </c>
      <c r="H237" s="0" t="n">
        <v>24</v>
      </c>
      <c r="I237" s="0" t="s">
        <v>17</v>
      </c>
      <c r="J237" s="0" t="s">
        <v>290</v>
      </c>
    </row>
    <row r="238" customFormat="false" ht="12.5" hidden="false" customHeight="false" outlineLevel="0" collapsed="false">
      <c r="A238" s="5" t="n">
        <v>46110</v>
      </c>
      <c r="B238" s="0" t="s">
        <v>942</v>
      </c>
      <c r="C238" s="0" t="s">
        <v>944</v>
      </c>
      <c r="D238" s="0" t="s">
        <v>890</v>
      </c>
      <c r="E238" s="0" t="s">
        <v>14</v>
      </c>
      <c r="F238" s="17" t="n">
        <v>0.375</v>
      </c>
      <c r="G238" s="0" t="s">
        <v>953</v>
      </c>
      <c r="H238" s="0" t="n">
        <v>24</v>
      </c>
      <c r="I238" s="0" t="s">
        <v>17</v>
      </c>
      <c r="J238" s="0" t="s">
        <v>290</v>
      </c>
    </row>
    <row r="239" customFormat="false" ht="12.5" hidden="false" customHeight="false" outlineLevel="0" collapsed="false">
      <c r="A239" s="5" t="n">
        <v>46110</v>
      </c>
      <c r="B239" s="0" t="s">
        <v>947</v>
      </c>
      <c r="C239" s="0" t="s">
        <v>873</v>
      </c>
      <c r="D239" s="0" t="s">
        <v>890</v>
      </c>
      <c r="E239" s="0" t="s">
        <v>14</v>
      </c>
      <c r="F239" s="17" t="n">
        <v>0.416666666666667</v>
      </c>
      <c r="H239" s="0" t="n">
        <v>24</v>
      </c>
      <c r="I239" s="0" t="s">
        <v>17</v>
      </c>
      <c r="J239" s="0" t="s">
        <v>290</v>
      </c>
    </row>
    <row r="240" customFormat="false" ht="12.5" hidden="false" customHeight="false" outlineLevel="0" collapsed="false">
      <c r="A240" s="5" t="n">
        <v>46110</v>
      </c>
      <c r="B240" s="0" t="s">
        <v>949</v>
      </c>
      <c r="C240" s="0" t="s">
        <v>939</v>
      </c>
      <c r="D240" s="0" t="s">
        <v>890</v>
      </c>
      <c r="E240" s="0" t="s">
        <v>14</v>
      </c>
      <c r="F240" s="17" t="n">
        <v>0.416666666666667</v>
      </c>
      <c r="G240" s="0" t="s">
        <v>954</v>
      </c>
      <c r="H240" s="0" t="n">
        <v>24</v>
      </c>
      <c r="I240" s="0" t="s">
        <v>17</v>
      </c>
      <c r="J240" s="0" t="s">
        <v>290</v>
      </c>
    </row>
    <row r="241" customFormat="false" ht="12.5" hidden="false" customHeight="false" outlineLevel="0" collapsed="false">
      <c r="A241" s="5" t="n">
        <v>46110</v>
      </c>
      <c r="B241" s="0" t="s">
        <v>948</v>
      </c>
      <c r="C241" s="0" t="s">
        <v>937</v>
      </c>
      <c r="D241" s="0" t="s">
        <v>890</v>
      </c>
      <c r="E241" s="0" t="s">
        <v>14</v>
      </c>
      <c r="F241" s="17" t="n">
        <v>0.416666666666667</v>
      </c>
      <c r="G241" s="0" t="s">
        <v>950</v>
      </c>
      <c r="H241" s="0" t="n">
        <v>24</v>
      </c>
      <c r="I241" s="0" t="s">
        <v>17</v>
      </c>
      <c r="J241" s="0" t="s">
        <v>290</v>
      </c>
    </row>
    <row r="242" customFormat="false" ht="12.5" hidden="false" customHeight="false" outlineLevel="0" collapsed="false">
      <c r="A242" s="5" t="n">
        <v>46110</v>
      </c>
      <c r="B242" s="0" t="s">
        <v>940</v>
      </c>
      <c r="C242" s="0" t="s">
        <v>951</v>
      </c>
      <c r="D242" s="0" t="s">
        <v>890</v>
      </c>
      <c r="E242" s="0" t="s">
        <v>14</v>
      </c>
      <c r="F242" s="17" t="n">
        <v>0.458333333333333</v>
      </c>
      <c r="G242" s="0" t="s">
        <v>952</v>
      </c>
      <c r="H242" s="0" t="n">
        <v>24</v>
      </c>
      <c r="I242" s="0" t="s">
        <v>17</v>
      </c>
      <c r="J242" s="0" t="s">
        <v>290</v>
      </c>
    </row>
    <row r="243" customFormat="false" ht="12.5" hidden="false" customHeight="false" outlineLevel="0" collapsed="false">
      <c r="A243" s="5" t="n">
        <v>46118</v>
      </c>
      <c r="B243" s="0" t="s">
        <v>936</v>
      </c>
      <c r="C243" s="0" t="s">
        <v>942</v>
      </c>
      <c r="D243" s="0" t="s">
        <v>890</v>
      </c>
      <c r="E243" s="0" t="s">
        <v>14</v>
      </c>
      <c r="F243" s="17" t="n">
        <v>0.6875</v>
      </c>
      <c r="G243" s="0" t="s">
        <v>938</v>
      </c>
      <c r="H243" s="0" t="n">
        <v>25</v>
      </c>
      <c r="I243" s="0" t="s">
        <v>17</v>
      </c>
      <c r="J243" s="0" t="s">
        <v>290</v>
      </c>
    </row>
    <row r="244" customFormat="false" ht="12.5" hidden="false" customHeight="false" outlineLevel="0" collapsed="false">
      <c r="A244" s="5" t="n">
        <v>46118</v>
      </c>
      <c r="B244" s="0" t="s">
        <v>937</v>
      </c>
      <c r="C244" s="0" t="s">
        <v>945</v>
      </c>
      <c r="D244" s="0" t="s">
        <v>890</v>
      </c>
      <c r="E244" s="0" t="s">
        <v>14</v>
      </c>
      <c r="F244" s="17" t="n">
        <v>0.708333333333333</v>
      </c>
      <c r="H244" s="0" t="n">
        <v>25</v>
      </c>
      <c r="I244" s="0" t="s">
        <v>17</v>
      </c>
      <c r="J244" s="0" t="s">
        <v>290</v>
      </c>
    </row>
    <row r="245" customFormat="false" ht="12.5" hidden="false" customHeight="false" outlineLevel="0" collapsed="false">
      <c r="A245" s="5" t="n">
        <v>46119</v>
      </c>
      <c r="B245" s="0" t="s">
        <v>939</v>
      </c>
      <c r="C245" s="0" t="s">
        <v>946</v>
      </c>
      <c r="D245" s="0" t="s">
        <v>890</v>
      </c>
      <c r="E245" s="0" t="s">
        <v>14</v>
      </c>
      <c r="F245" s="17" t="n">
        <v>0.40625</v>
      </c>
      <c r="G245" s="0" t="s">
        <v>941</v>
      </c>
      <c r="H245" s="0" t="n">
        <v>25</v>
      </c>
      <c r="I245" s="0" t="s">
        <v>17</v>
      </c>
      <c r="J245" s="0" t="s">
        <v>290</v>
      </c>
    </row>
    <row r="246" customFormat="false" ht="12.5" hidden="false" customHeight="false" outlineLevel="0" collapsed="false">
      <c r="A246" s="5" t="n">
        <v>46119</v>
      </c>
      <c r="B246" s="0" t="s">
        <v>944</v>
      </c>
      <c r="C246" s="0" t="s">
        <v>940</v>
      </c>
      <c r="D246" s="0" t="s">
        <v>890</v>
      </c>
      <c r="E246" s="0" t="s">
        <v>14</v>
      </c>
      <c r="F246" s="17" t="n">
        <v>0.416666666666667</v>
      </c>
      <c r="H246" s="0" t="n">
        <v>25</v>
      </c>
      <c r="I246" s="0" t="s">
        <v>17</v>
      </c>
      <c r="J246" s="0" t="s">
        <v>290</v>
      </c>
    </row>
    <row r="247" customFormat="false" ht="12.5" hidden="false" customHeight="false" outlineLevel="0" collapsed="false">
      <c r="A247" s="5" t="n">
        <v>46119</v>
      </c>
      <c r="B247" s="0" t="s">
        <v>949</v>
      </c>
      <c r="C247" s="0" t="s">
        <v>947</v>
      </c>
      <c r="D247" s="0" t="s">
        <v>890</v>
      </c>
      <c r="E247" s="0" t="s">
        <v>14</v>
      </c>
      <c r="F247" s="17" t="n">
        <v>0.416666666666667</v>
      </c>
      <c r="G247" s="0" t="s">
        <v>954</v>
      </c>
      <c r="H247" s="0" t="n">
        <v>25</v>
      </c>
      <c r="I247" s="0" t="s">
        <v>17</v>
      </c>
      <c r="J247" s="0" t="s">
        <v>290</v>
      </c>
    </row>
    <row r="248" customFormat="false" ht="12.5" hidden="false" customHeight="false" outlineLevel="0" collapsed="false">
      <c r="A248" s="5" t="n">
        <v>46119</v>
      </c>
      <c r="B248" s="0" t="s">
        <v>951</v>
      </c>
      <c r="C248" s="0" t="s">
        <v>873</v>
      </c>
      <c r="D248" s="0" t="s">
        <v>890</v>
      </c>
      <c r="E248" s="0" t="s">
        <v>14</v>
      </c>
      <c r="F248" s="17" t="n">
        <v>0.416666666666667</v>
      </c>
      <c r="H248" s="0" t="n">
        <v>25</v>
      </c>
      <c r="I248" s="0" t="s">
        <v>17</v>
      </c>
      <c r="J248" s="0" t="s">
        <v>290</v>
      </c>
    </row>
    <row r="249" customFormat="false" ht="12.5" hidden="false" customHeight="false" outlineLevel="0" collapsed="false">
      <c r="A249" s="5" t="n">
        <v>46130</v>
      </c>
      <c r="B249" s="0" t="s">
        <v>937</v>
      </c>
      <c r="C249" s="0" t="s">
        <v>939</v>
      </c>
      <c r="D249" s="0" t="s">
        <v>890</v>
      </c>
      <c r="E249" s="0" t="s">
        <v>14</v>
      </c>
      <c r="F249" s="17" t="n">
        <v>0.708333333333333</v>
      </c>
      <c r="H249" s="0" t="n">
        <v>26</v>
      </c>
      <c r="I249" s="0" t="s">
        <v>17</v>
      </c>
      <c r="J249" s="0" t="s">
        <v>290</v>
      </c>
    </row>
    <row r="250" customFormat="false" ht="12.5" hidden="false" customHeight="false" outlineLevel="0" collapsed="false">
      <c r="A250" s="5" t="n">
        <v>46131</v>
      </c>
      <c r="B250" s="0" t="s">
        <v>942</v>
      </c>
      <c r="C250" s="0" t="s">
        <v>946</v>
      </c>
      <c r="D250" s="0" t="s">
        <v>890</v>
      </c>
      <c r="E250" s="0" t="s">
        <v>14</v>
      </c>
      <c r="F250" s="17" t="n">
        <v>0.375</v>
      </c>
      <c r="G250" s="0" t="s">
        <v>953</v>
      </c>
      <c r="H250" s="0" t="n">
        <v>26</v>
      </c>
      <c r="I250" s="0" t="s">
        <v>17</v>
      </c>
      <c r="J250" s="0" t="s">
        <v>290</v>
      </c>
    </row>
    <row r="251" customFormat="false" ht="12.5" hidden="false" customHeight="false" outlineLevel="0" collapsed="false">
      <c r="A251" s="5" t="n">
        <v>46131</v>
      </c>
      <c r="B251" s="0" t="s">
        <v>947</v>
      </c>
      <c r="C251" s="0" t="s">
        <v>945</v>
      </c>
      <c r="D251" s="0" t="s">
        <v>890</v>
      </c>
      <c r="E251" s="0" t="s">
        <v>14</v>
      </c>
      <c r="F251" s="17" t="n">
        <v>0.416666666666667</v>
      </c>
      <c r="H251" s="0" t="n">
        <v>26</v>
      </c>
      <c r="I251" s="0" t="s">
        <v>17</v>
      </c>
      <c r="J251" s="0" t="s">
        <v>290</v>
      </c>
    </row>
    <row r="252" customFormat="false" ht="12.5" hidden="false" customHeight="false" outlineLevel="0" collapsed="false">
      <c r="A252" s="5" t="n">
        <v>46131</v>
      </c>
      <c r="B252" s="0" t="s">
        <v>949</v>
      </c>
      <c r="C252" s="0" t="s">
        <v>944</v>
      </c>
      <c r="D252" s="0" t="s">
        <v>890</v>
      </c>
      <c r="E252" s="0" t="s">
        <v>14</v>
      </c>
      <c r="F252" s="17" t="n">
        <v>0.416666666666667</v>
      </c>
      <c r="G252" s="0" t="s">
        <v>954</v>
      </c>
      <c r="H252" s="0" t="n">
        <v>26</v>
      </c>
      <c r="I252" s="0" t="s">
        <v>17</v>
      </c>
      <c r="J252" s="0" t="s">
        <v>290</v>
      </c>
    </row>
    <row r="253" customFormat="false" ht="12.5" hidden="false" customHeight="false" outlineLevel="0" collapsed="false">
      <c r="A253" s="5" t="n">
        <v>46131</v>
      </c>
      <c r="B253" s="0" t="s">
        <v>948</v>
      </c>
      <c r="C253" s="0" t="s">
        <v>951</v>
      </c>
      <c r="D253" s="0" t="s">
        <v>890</v>
      </c>
      <c r="E253" s="0" t="s">
        <v>14</v>
      </c>
      <c r="F253" s="17" t="n">
        <v>0.416666666666667</v>
      </c>
      <c r="G253" s="0" t="s">
        <v>950</v>
      </c>
      <c r="H253" s="0" t="n">
        <v>26</v>
      </c>
      <c r="I253" s="0" t="s">
        <v>17</v>
      </c>
      <c r="J253" s="0" t="s">
        <v>290</v>
      </c>
    </row>
    <row r="254" customFormat="false" ht="12.5" hidden="false" customHeight="false" outlineLevel="0" collapsed="false">
      <c r="A254" s="5" t="n">
        <v>46131</v>
      </c>
      <c r="B254" s="0" t="s">
        <v>940</v>
      </c>
      <c r="C254" s="0" t="s">
        <v>873</v>
      </c>
      <c r="D254" s="0" t="s">
        <v>890</v>
      </c>
      <c r="E254" s="0" t="s">
        <v>14</v>
      </c>
      <c r="F254" s="17" t="n">
        <v>0.458333333333333</v>
      </c>
      <c r="G254" s="0" t="s">
        <v>952</v>
      </c>
      <c r="H254" s="0" t="n">
        <v>26</v>
      </c>
      <c r="I254" s="0" t="s">
        <v>17</v>
      </c>
      <c r="J254" s="0" t="s">
        <v>290</v>
      </c>
    </row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3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0" sqref="B1"/>
    </sheetView>
  </sheetViews>
  <sheetFormatPr defaultColWidth="8.76953125" defaultRowHeight="12.5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24" width="11.27"/>
    <col collapsed="false" customWidth="true" hidden="false" outlineLevel="0" max="7" min="7" style="0" width="47.02"/>
    <col collapsed="false" customWidth="true" hidden="false" outlineLevel="0" max="8" min="8" style="0" width="7.72"/>
    <col collapsed="false" customWidth="true" hidden="false" outlineLevel="0" max="9" min="9" style="0" width="7.09"/>
    <col collapsed="false" customWidth="true" hidden="false" outlineLevel="0" max="10" min="10" style="0" width="10.63"/>
    <col collapsed="false" customWidth="true" hidden="false" outlineLevel="0" max="11" min="11" style="0" width="1.4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4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5" t="n">
        <v>46040</v>
      </c>
      <c r="B2" s="4" t="s">
        <v>955</v>
      </c>
      <c r="C2" s="0" t="s">
        <v>439</v>
      </c>
      <c r="D2" s="0" t="s">
        <v>956</v>
      </c>
      <c r="E2" s="0" t="s">
        <v>129</v>
      </c>
      <c r="F2" s="24" t="s">
        <v>957</v>
      </c>
      <c r="G2" s="0" t="s">
        <v>958</v>
      </c>
      <c r="H2" s="0" t="n">
        <v>1</v>
      </c>
      <c r="I2" s="0" t="s">
        <v>438</v>
      </c>
      <c r="J2" s="0" t="s">
        <v>315</v>
      </c>
    </row>
    <row r="3" customFormat="false" ht="12.5" hidden="false" customHeight="false" outlineLevel="0" collapsed="false">
      <c r="A3" s="5" t="n">
        <v>46040</v>
      </c>
      <c r="B3" s="0" t="s">
        <v>959</v>
      </c>
      <c r="C3" s="0" t="s">
        <v>596</v>
      </c>
      <c r="D3" s="0" t="s">
        <v>956</v>
      </c>
      <c r="E3" s="0" t="s">
        <v>129</v>
      </c>
      <c r="F3" s="24" t="s">
        <v>960</v>
      </c>
      <c r="G3" s="0" t="s">
        <v>961</v>
      </c>
      <c r="H3" s="0" t="n">
        <v>1</v>
      </c>
      <c r="I3" s="0" t="s">
        <v>438</v>
      </c>
      <c r="J3" s="0" t="s">
        <v>315</v>
      </c>
    </row>
    <row r="4" customFormat="false" ht="12.5" hidden="false" customHeight="false" outlineLevel="0" collapsed="false">
      <c r="A4" s="5" t="n">
        <v>46040</v>
      </c>
      <c r="B4" s="0" t="s">
        <v>962</v>
      </c>
      <c r="C4" s="0" t="s">
        <v>963</v>
      </c>
      <c r="D4" s="0" t="s">
        <v>956</v>
      </c>
      <c r="E4" s="0" t="s">
        <v>129</v>
      </c>
      <c r="F4" s="24" t="s">
        <v>964</v>
      </c>
      <c r="G4" s="0" t="s">
        <v>965</v>
      </c>
      <c r="H4" s="0" t="n">
        <v>1</v>
      </c>
      <c r="I4" s="0" t="s">
        <v>438</v>
      </c>
      <c r="J4" s="0" t="s">
        <v>315</v>
      </c>
    </row>
    <row r="5" customFormat="false" ht="12.5" hidden="false" customHeight="false" outlineLevel="0" collapsed="false">
      <c r="A5" s="5" t="n">
        <v>46040</v>
      </c>
      <c r="B5" s="0" t="s">
        <v>966</v>
      </c>
      <c r="C5" s="0" t="s">
        <v>967</v>
      </c>
      <c r="D5" s="0" t="s">
        <v>956</v>
      </c>
      <c r="E5" s="0" t="s">
        <v>129</v>
      </c>
      <c r="F5" s="24" t="n">
        <v>0.677083333333333</v>
      </c>
      <c r="G5" s="0" t="s">
        <v>968</v>
      </c>
      <c r="H5" s="0" t="n">
        <v>1</v>
      </c>
      <c r="I5" s="0" t="s">
        <v>438</v>
      </c>
      <c r="J5" s="0" t="s">
        <v>315</v>
      </c>
    </row>
    <row r="6" customFormat="false" ht="12.5" hidden="false" customHeight="false" outlineLevel="0" collapsed="false">
      <c r="A6" s="5" t="n">
        <v>46040</v>
      </c>
      <c r="B6" s="0" t="s">
        <v>969</v>
      </c>
      <c r="C6" s="0" t="s">
        <v>657</v>
      </c>
      <c r="D6" s="0" t="s">
        <v>956</v>
      </c>
      <c r="E6" s="0" t="s">
        <v>129</v>
      </c>
      <c r="F6" s="24" t="s">
        <v>970</v>
      </c>
      <c r="G6" s="0" t="s">
        <v>971</v>
      </c>
      <c r="H6" s="0" t="n">
        <v>1</v>
      </c>
      <c r="I6" s="0" t="s">
        <v>438</v>
      </c>
      <c r="J6" s="0" t="s">
        <v>315</v>
      </c>
    </row>
    <row r="7" customFormat="false" ht="12.5" hidden="false" customHeight="false" outlineLevel="0" collapsed="false">
      <c r="A7" s="5" t="n">
        <v>46040</v>
      </c>
      <c r="B7" s="0" t="s">
        <v>972</v>
      </c>
      <c r="C7" s="0" t="s">
        <v>973</v>
      </c>
      <c r="D7" s="0" t="s">
        <v>956</v>
      </c>
      <c r="E7" s="0" t="s">
        <v>129</v>
      </c>
      <c r="F7" s="24" t="s">
        <v>974</v>
      </c>
      <c r="G7" s="0" t="s">
        <v>975</v>
      </c>
      <c r="H7" s="0" t="n">
        <v>1</v>
      </c>
      <c r="I7" s="0" t="s">
        <v>438</v>
      </c>
      <c r="J7" s="0" t="s">
        <v>315</v>
      </c>
    </row>
    <row r="8" customFormat="false" ht="12.5" hidden="false" customHeight="false" outlineLevel="0" collapsed="false">
      <c r="A8" s="5" t="n">
        <v>46047</v>
      </c>
      <c r="B8" s="0" t="s">
        <v>596</v>
      </c>
      <c r="C8" s="0" t="s">
        <v>972</v>
      </c>
      <c r="D8" s="0" t="s">
        <v>956</v>
      </c>
      <c r="E8" s="0" t="s">
        <v>129</v>
      </c>
      <c r="F8" s="24" t="s">
        <v>964</v>
      </c>
      <c r="G8" s="0" t="s">
        <v>976</v>
      </c>
      <c r="H8" s="0" t="n">
        <v>2</v>
      </c>
      <c r="I8" s="0" t="s">
        <v>438</v>
      </c>
      <c r="J8" s="0" t="s">
        <v>315</v>
      </c>
    </row>
    <row r="9" customFormat="false" ht="12.5" hidden="false" customHeight="false" outlineLevel="0" collapsed="false">
      <c r="A9" s="5" t="n">
        <v>46047</v>
      </c>
      <c r="B9" s="0" t="s">
        <v>439</v>
      </c>
      <c r="C9" s="0" t="s">
        <v>966</v>
      </c>
      <c r="D9" s="0" t="s">
        <v>956</v>
      </c>
      <c r="E9" s="0" t="s">
        <v>129</v>
      </c>
      <c r="F9" s="24" t="s">
        <v>957</v>
      </c>
      <c r="G9" s="0" t="s">
        <v>977</v>
      </c>
      <c r="H9" s="0" t="n">
        <v>2</v>
      </c>
      <c r="I9" s="0" t="s">
        <v>438</v>
      </c>
      <c r="J9" s="0" t="s">
        <v>315</v>
      </c>
    </row>
    <row r="10" customFormat="false" ht="12.5" hidden="false" customHeight="false" outlineLevel="0" collapsed="false">
      <c r="A10" s="5" t="n">
        <v>46046</v>
      </c>
      <c r="B10" s="0" t="s">
        <v>967</v>
      </c>
      <c r="C10" s="0" t="s">
        <v>959</v>
      </c>
      <c r="D10" s="0" t="s">
        <v>956</v>
      </c>
      <c r="E10" s="0" t="s">
        <v>129</v>
      </c>
      <c r="F10" s="24" t="s">
        <v>449</v>
      </c>
      <c r="G10" s="0" t="s">
        <v>978</v>
      </c>
      <c r="H10" s="0" t="n">
        <v>2</v>
      </c>
      <c r="I10" s="0" t="s">
        <v>438</v>
      </c>
      <c r="J10" s="0" t="s">
        <v>315</v>
      </c>
    </row>
    <row r="11" customFormat="false" ht="12.5" hidden="false" customHeight="false" outlineLevel="0" collapsed="false">
      <c r="A11" s="5" t="n">
        <v>46047</v>
      </c>
      <c r="B11" s="0" t="s">
        <v>657</v>
      </c>
      <c r="C11" s="0" t="s">
        <v>962</v>
      </c>
      <c r="D11" s="0" t="s">
        <v>956</v>
      </c>
      <c r="E11" s="0" t="s">
        <v>129</v>
      </c>
      <c r="F11" s="24" t="s">
        <v>970</v>
      </c>
      <c r="G11" s="0" t="s">
        <v>979</v>
      </c>
      <c r="H11" s="0" t="n">
        <v>2</v>
      </c>
      <c r="I11" s="0" t="s">
        <v>438</v>
      </c>
      <c r="J11" s="0" t="s">
        <v>315</v>
      </c>
    </row>
    <row r="12" customFormat="false" ht="12.5" hidden="false" customHeight="false" outlineLevel="0" collapsed="false">
      <c r="A12" s="5" t="n">
        <v>46047</v>
      </c>
      <c r="B12" s="0" t="s">
        <v>973</v>
      </c>
      <c r="C12" s="0" t="s">
        <v>969</v>
      </c>
      <c r="D12" s="0" t="s">
        <v>956</v>
      </c>
      <c r="E12" s="0" t="s">
        <v>129</v>
      </c>
      <c r="F12" s="24" t="s">
        <v>329</v>
      </c>
      <c r="G12" s="0" t="s">
        <v>980</v>
      </c>
      <c r="H12" s="0" t="n">
        <v>2</v>
      </c>
      <c r="I12" s="0" t="s">
        <v>438</v>
      </c>
      <c r="J12" s="0" t="s">
        <v>315</v>
      </c>
    </row>
    <row r="13" customFormat="false" ht="12.5" hidden="false" customHeight="false" outlineLevel="0" collapsed="false">
      <c r="A13" s="5" t="n">
        <v>46047</v>
      </c>
      <c r="B13" s="0" t="s">
        <v>963</v>
      </c>
      <c r="C13" s="0" t="s">
        <v>608</v>
      </c>
      <c r="D13" s="0" t="s">
        <v>956</v>
      </c>
      <c r="E13" s="0" t="s">
        <v>129</v>
      </c>
      <c r="F13" s="24" t="s">
        <v>964</v>
      </c>
      <c r="G13" s="0" t="s">
        <v>981</v>
      </c>
      <c r="H13" s="0" t="n">
        <v>2</v>
      </c>
      <c r="I13" s="0" t="s">
        <v>438</v>
      </c>
      <c r="J13" s="0" t="s">
        <v>315</v>
      </c>
    </row>
    <row r="14" customFormat="false" ht="12.5" hidden="false" customHeight="false" outlineLevel="0" collapsed="false">
      <c r="A14" s="5" t="n">
        <v>46054</v>
      </c>
      <c r="B14" s="0" t="s">
        <v>969</v>
      </c>
      <c r="C14" s="0" t="s">
        <v>596</v>
      </c>
      <c r="D14" s="0" t="s">
        <v>956</v>
      </c>
      <c r="E14" s="0" t="s">
        <v>129</v>
      </c>
      <c r="F14" s="24" t="s">
        <v>970</v>
      </c>
      <c r="G14" s="0" t="s">
        <v>971</v>
      </c>
      <c r="H14" s="0" t="n">
        <v>3</v>
      </c>
      <c r="I14" s="0" t="s">
        <v>438</v>
      </c>
      <c r="J14" s="0" t="s">
        <v>315</v>
      </c>
    </row>
    <row r="15" customFormat="false" ht="12.5" hidden="false" customHeight="false" outlineLevel="0" collapsed="false">
      <c r="A15" s="5" t="n">
        <v>46054</v>
      </c>
      <c r="B15" s="0" t="s">
        <v>959</v>
      </c>
      <c r="C15" s="0" t="s">
        <v>966</v>
      </c>
      <c r="D15" s="0" t="s">
        <v>956</v>
      </c>
      <c r="E15" s="0" t="s">
        <v>129</v>
      </c>
      <c r="F15" s="24" t="s">
        <v>960</v>
      </c>
      <c r="G15" s="0" t="s">
        <v>961</v>
      </c>
      <c r="H15" s="0" t="n">
        <v>3</v>
      </c>
      <c r="I15" s="0" t="s">
        <v>438</v>
      </c>
      <c r="J15" s="0" t="s">
        <v>315</v>
      </c>
    </row>
    <row r="16" customFormat="false" ht="12.5" hidden="false" customHeight="false" outlineLevel="0" collapsed="false">
      <c r="A16" s="5" t="n">
        <v>46054</v>
      </c>
      <c r="B16" s="0" t="s">
        <v>955</v>
      </c>
      <c r="C16" s="0" t="s">
        <v>963</v>
      </c>
      <c r="D16" s="0" t="s">
        <v>956</v>
      </c>
      <c r="E16" s="0" t="s">
        <v>129</v>
      </c>
      <c r="F16" s="24" t="s">
        <v>957</v>
      </c>
      <c r="G16" s="0" t="s">
        <v>958</v>
      </c>
      <c r="H16" s="0" t="n">
        <v>3</v>
      </c>
      <c r="I16" s="0" t="s">
        <v>438</v>
      </c>
      <c r="J16" s="0" t="s">
        <v>315</v>
      </c>
    </row>
    <row r="17" customFormat="false" ht="12.5" hidden="false" customHeight="false" outlineLevel="0" collapsed="false">
      <c r="A17" s="5" t="n">
        <v>46054</v>
      </c>
      <c r="B17" s="0" t="s">
        <v>972</v>
      </c>
      <c r="C17" s="0" t="s">
        <v>967</v>
      </c>
      <c r="D17" s="0" t="s">
        <v>956</v>
      </c>
      <c r="E17" s="0" t="s">
        <v>129</v>
      </c>
      <c r="F17" s="24" t="s">
        <v>974</v>
      </c>
      <c r="G17" s="0" t="s">
        <v>975</v>
      </c>
      <c r="H17" s="0" t="n">
        <v>3</v>
      </c>
      <c r="I17" s="0" t="s">
        <v>438</v>
      </c>
      <c r="J17" s="0" t="s">
        <v>315</v>
      </c>
    </row>
    <row r="18" customFormat="false" ht="12.5" hidden="false" customHeight="false" outlineLevel="0" collapsed="false">
      <c r="A18" s="5" t="n">
        <v>46054</v>
      </c>
      <c r="B18" s="0" t="s">
        <v>608</v>
      </c>
      <c r="C18" s="0" t="s">
        <v>657</v>
      </c>
      <c r="D18" s="0" t="s">
        <v>956</v>
      </c>
      <c r="E18" s="0" t="s">
        <v>129</v>
      </c>
      <c r="F18" s="24" t="s">
        <v>957</v>
      </c>
      <c r="G18" s="0" t="s">
        <v>982</v>
      </c>
      <c r="H18" s="0" t="n">
        <v>3</v>
      </c>
      <c r="I18" s="0" t="s">
        <v>438</v>
      </c>
      <c r="J18" s="0" t="s">
        <v>315</v>
      </c>
    </row>
    <row r="19" customFormat="false" ht="12.5" hidden="false" customHeight="false" outlineLevel="0" collapsed="false">
      <c r="A19" s="5" t="n">
        <v>46054</v>
      </c>
      <c r="B19" s="0" t="s">
        <v>962</v>
      </c>
      <c r="C19" s="0" t="s">
        <v>973</v>
      </c>
      <c r="D19" s="0" t="s">
        <v>956</v>
      </c>
      <c r="E19" s="0" t="s">
        <v>129</v>
      </c>
      <c r="F19" s="24" t="s">
        <v>964</v>
      </c>
      <c r="G19" s="0" t="s">
        <v>965</v>
      </c>
      <c r="H19" s="0" t="n">
        <v>3</v>
      </c>
      <c r="I19" s="0" t="s">
        <v>438</v>
      </c>
      <c r="J19" s="0" t="s">
        <v>315</v>
      </c>
    </row>
    <row r="20" customFormat="false" ht="12.5" hidden="false" customHeight="false" outlineLevel="0" collapsed="false">
      <c r="A20" s="5" t="n">
        <v>46061</v>
      </c>
      <c r="B20" s="0" t="s">
        <v>963</v>
      </c>
      <c r="C20" s="0" t="s">
        <v>439</v>
      </c>
      <c r="D20" s="0" t="s">
        <v>956</v>
      </c>
      <c r="E20" s="0" t="s">
        <v>129</v>
      </c>
      <c r="F20" s="24" t="s">
        <v>964</v>
      </c>
      <c r="G20" s="0" t="s">
        <v>981</v>
      </c>
      <c r="H20" s="0" t="n">
        <v>4</v>
      </c>
      <c r="I20" s="0" t="s">
        <v>438</v>
      </c>
      <c r="J20" s="0" t="s">
        <v>315</v>
      </c>
    </row>
    <row r="21" customFormat="false" ht="12.5" hidden="false" customHeight="false" outlineLevel="0" collapsed="false">
      <c r="A21" s="5" t="n">
        <v>46061</v>
      </c>
      <c r="B21" s="0" t="s">
        <v>959</v>
      </c>
      <c r="C21" s="0" t="s">
        <v>972</v>
      </c>
      <c r="D21" s="0" t="s">
        <v>956</v>
      </c>
      <c r="E21" s="0" t="s">
        <v>129</v>
      </c>
      <c r="F21" s="24" t="s">
        <v>960</v>
      </c>
      <c r="G21" s="0" t="s">
        <v>961</v>
      </c>
      <c r="H21" s="0" t="n">
        <v>4</v>
      </c>
      <c r="I21" s="0" t="s">
        <v>438</v>
      </c>
      <c r="J21" s="0" t="s">
        <v>315</v>
      </c>
    </row>
    <row r="22" customFormat="false" ht="12.5" hidden="false" customHeight="false" outlineLevel="0" collapsed="false">
      <c r="A22" s="5" t="n">
        <v>46061</v>
      </c>
      <c r="B22" s="0" t="s">
        <v>657</v>
      </c>
      <c r="C22" s="0" t="s">
        <v>955</v>
      </c>
      <c r="D22" s="0" t="s">
        <v>956</v>
      </c>
      <c r="E22" s="0" t="s">
        <v>129</v>
      </c>
      <c r="F22" s="24" t="s">
        <v>970</v>
      </c>
      <c r="G22" s="0" t="s">
        <v>979</v>
      </c>
      <c r="H22" s="0" t="n">
        <v>4</v>
      </c>
      <c r="I22" s="0" t="s">
        <v>438</v>
      </c>
      <c r="J22" s="0" t="s">
        <v>315</v>
      </c>
    </row>
    <row r="23" customFormat="false" ht="12.5" hidden="false" customHeight="false" outlineLevel="0" collapsed="false">
      <c r="A23" s="5" t="n">
        <v>46061</v>
      </c>
      <c r="B23" s="0" t="s">
        <v>596</v>
      </c>
      <c r="C23" s="0" t="s">
        <v>962</v>
      </c>
      <c r="D23" s="0" t="s">
        <v>956</v>
      </c>
      <c r="E23" s="0" t="s">
        <v>129</v>
      </c>
      <c r="F23" s="24" t="s">
        <v>964</v>
      </c>
      <c r="G23" s="0" t="s">
        <v>976</v>
      </c>
      <c r="H23" s="0" t="n">
        <v>4</v>
      </c>
      <c r="I23" s="0" t="s">
        <v>438</v>
      </c>
      <c r="J23" s="0" t="s">
        <v>315</v>
      </c>
    </row>
    <row r="24" customFormat="false" ht="12.5" hidden="false" customHeight="false" outlineLevel="0" collapsed="false">
      <c r="A24" s="5" t="n">
        <v>46060</v>
      </c>
      <c r="B24" s="0" t="s">
        <v>967</v>
      </c>
      <c r="C24" s="0" t="s">
        <v>969</v>
      </c>
      <c r="D24" s="0" t="s">
        <v>956</v>
      </c>
      <c r="E24" s="0" t="s">
        <v>129</v>
      </c>
      <c r="F24" s="24" t="s">
        <v>449</v>
      </c>
      <c r="G24" s="0" t="s">
        <v>978</v>
      </c>
      <c r="H24" s="0" t="n">
        <v>4</v>
      </c>
      <c r="I24" s="0" t="s">
        <v>438</v>
      </c>
      <c r="J24" s="0" t="s">
        <v>315</v>
      </c>
    </row>
    <row r="25" customFormat="false" ht="12.5" hidden="false" customHeight="false" outlineLevel="0" collapsed="false">
      <c r="A25" s="5" t="n">
        <v>46061</v>
      </c>
      <c r="B25" s="0" t="s">
        <v>973</v>
      </c>
      <c r="C25" s="0" t="s">
        <v>608</v>
      </c>
      <c r="D25" s="0" t="s">
        <v>956</v>
      </c>
      <c r="E25" s="0" t="s">
        <v>129</v>
      </c>
      <c r="F25" s="24" t="s">
        <v>329</v>
      </c>
      <c r="G25" s="0" t="s">
        <v>980</v>
      </c>
      <c r="H25" s="0" t="n">
        <v>4</v>
      </c>
      <c r="I25" s="0" t="s">
        <v>438</v>
      </c>
      <c r="J25" s="0" t="s">
        <v>315</v>
      </c>
    </row>
    <row r="26" customFormat="false" ht="12.5" hidden="false" customHeight="false" outlineLevel="0" collapsed="false">
      <c r="A26" s="5" t="n">
        <v>46068</v>
      </c>
      <c r="B26" s="0" t="s">
        <v>608</v>
      </c>
      <c r="C26" s="0" t="s">
        <v>596</v>
      </c>
      <c r="D26" s="0" t="s">
        <v>956</v>
      </c>
      <c r="E26" s="0" t="s">
        <v>129</v>
      </c>
      <c r="F26" s="24" t="s">
        <v>957</v>
      </c>
      <c r="G26" s="0" t="s">
        <v>982</v>
      </c>
      <c r="H26" s="0" t="n">
        <v>5</v>
      </c>
      <c r="I26" s="0" t="s">
        <v>438</v>
      </c>
      <c r="J26" s="0" t="s">
        <v>315</v>
      </c>
    </row>
    <row r="27" customFormat="false" ht="12.5" hidden="false" customHeight="false" outlineLevel="0" collapsed="false">
      <c r="A27" s="5" t="n">
        <v>46068</v>
      </c>
      <c r="B27" s="0" t="s">
        <v>972</v>
      </c>
      <c r="C27" s="0" t="s">
        <v>966</v>
      </c>
      <c r="D27" s="0" t="s">
        <v>956</v>
      </c>
      <c r="E27" s="0" t="s">
        <v>129</v>
      </c>
      <c r="F27" s="24" t="s">
        <v>974</v>
      </c>
      <c r="G27" s="0" t="s">
        <v>975</v>
      </c>
      <c r="H27" s="0" t="n">
        <v>5</v>
      </c>
      <c r="I27" s="0" t="s">
        <v>438</v>
      </c>
      <c r="J27" s="0" t="s">
        <v>315</v>
      </c>
    </row>
    <row r="28" customFormat="false" ht="12.5" hidden="false" customHeight="false" outlineLevel="0" collapsed="false">
      <c r="A28" s="5" t="n">
        <v>46068</v>
      </c>
      <c r="B28" s="0" t="s">
        <v>962</v>
      </c>
      <c r="C28" s="0" t="s">
        <v>967</v>
      </c>
      <c r="D28" s="0" t="s">
        <v>956</v>
      </c>
      <c r="E28" s="0" t="s">
        <v>129</v>
      </c>
      <c r="F28" s="24" t="s">
        <v>964</v>
      </c>
      <c r="G28" s="0" t="s">
        <v>965</v>
      </c>
      <c r="H28" s="0" t="n">
        <v>5</v>
      </c>
      <c r="I28" s="0" t="s">
        <v>438</v>
      </c>
      <c r="J28" s="0" t="s">
        <v>315</v>
      </c>
    </row>
    <row r="29" customFormat="false" ht="12.5" hidden="false" customHeight="false" outlineLevel="0" collapsed="false">
      <c r="A29" s="5" t="n">
        <v>46068</v>
      </c>
      <c r="B29" s="0" t="s">
        <v>969</v>
      </c>
      <c r="C29" s="0" t="s">
        <v>983</v>
      </c>
      <c r="D29" s="0" t="s">
        <v>956</v>
      </c>
      <c r="E29" s="0" t="s">
        <v>129</v>
      </c>
      <c r="F29" s="24" t="s">
        <v>970</v>
      </c>
      <c r="G29" s="0" t="s">
        <v>971</v>
      </c>
      <c r="H29" s="0" t="n">
        <v>5</v>
      </c>
      <c r="I29" s="0" t="s">
        <v>438</v>
      </c>
      <c r="J29" s="0" t="s">
        <v>315</v>
      </c>
    </row>
    <row r="30" customFormat="false" ht="12.5" hidden="false" customHeight="false" outlineLevel="0" collapsed="false">
      <c r="A30" s="5" t="n">
        <v>46068</v>
      </c>
      <c r="B30" s="0" t="s">
        <v>439</v>
      </c>
      <c r="C30" s="0" t="s">
        <v>657</v>
      </c>
      <c r="D30" s="0" t="s">
        <v>956</v>
      </c>
      <c r="E30" s="0" t="s">
        <v>129</v>
      </c>
      <c r="F30" s="24" t="s">
        <v>957</v>
      </c>
      <c r="G30" s="0" t="s">
        <v>977</v>
      </c>
      <c r="H30" s="0" t="n">
        <v>5</v>
      </c>
      <c r="I30" s="0" t="s">
        <v>438</v>
      </c>
      <c r="J30" s="0" t="s">
        <v>315</v>
      </c>
    </row>
    <row r="31" customFormat="false" ht="12.5" hidden="false" customHeight="false" outlineLevel="0" collapsed="false">
      <c r="A31" s="5" t="n">
        <v>46068</v>
      </c>
      <c r="B31" s="0" t="s">
        <v>955</v>
      </c>
      <c r="C31" s="0" t="s">
        <v>973</v>
      </c>
      <c r="D31" s="0" t="s">
        <v>956</v>
      </c>
      <c r="E31" s="0" t="s">
        <v>129</v>
      </c>
      <c r="F31" s="24" t="s">
        <v>957</v>
      </c>
      <c r="G31" s="0" t="s">
        <v>958</v>
      </c>
      <c r="H31" s="0" t="n">
        <v>5</v>
      </c>
      <c r="I31" s="0" t="s">
        <v>438</v>
      </c>
      <c r="J31" s="0" t="s">
        <v>315</v>
      </c>
    </row>
    <row r="32" customFormat="false" ht="12.5" hidden="false" customHeight="false" outlineLevel="0" collapsed="false">
      <c r="A32" s="5" t="n">
        <v>46075</v>
      </c>
      <c r="B32" s="0" t="s">
        <v>973</v>
      </c>
      <c r="C32" s="0" t="s">
        <v>439</v>
      </c>
      <c r="D32" s="0" t="s">
        <v>956</v>
      </c>
      <c r="E32" s="0" t="s">
        <v>129</v>
      </c>
      <c r="F32" s="24" t="s">
        <v>329</v>
      </c>
      <c r="G32" s="0" t="s">
        <v>980</v>
      </c>
      <c r="H32" s="0" t="n">
        <v>6</v>
      </c>
      <c r="I32" s="0" t="s">
        <v>438</v>
      </c>
      <c r="J32" s="0" t="s">
        <v>315</v>
      </c>
    </row>
    <row r="33" customFormat="false" ht="12.5" hidden="false" customHeight="false" outlineLevel="0" collapsed="false">
      <c r="A33" s="5" t="n">
        <v>46075</v>
      </c>
      <c r="B33" s="0" t="s">
        <v>966</v>
      </c>
      <c r="C33" s="0" t="s">
        <v>963</v>
      </c>
      <c r="D33" s="0" t="s">
        <v>956</v>
      </c>
      <c r="E33" s="0" t="s">
        <v>129</v>
      </c>
      <c r="F33" s="24" t="n">
        <v>0.677083333333333</v>
      </c>
      <c r="G33" s="0" t="s">
        <v>968</v>
      </c>
      <c r="H33" s="0" t="n">
        <v>6</v>
      </c>
      <c r="I33" s="0" t="s">
        <v>438</v>
      </c>
      <c r="J33" s="0" t="s">
        <v>315</v>
      </c>
    </row>
    <row r="34" customFormat="false" ht="12.5" hidden="false" customHeight="false" outlineLevel="0" collapsed="false">
      <c r="A34" s="5" t="n">
        <v>46075</v>
      </c>
      <c r="B34" s="0" t="s">
        <v>596</v>
      </c>
      <c r="C34" s="0" t="s">
        <v>955</v>
      </c>
      <c r="D34" s="0" t="s">
        <v>956</v>
      </c>
      <c r="E34" s="0" t="s">
        <v>129</v>
      </c>
      <c r="F34" s="24" t="s">
        <v>964</v>
      </c>
      <c r="G34" s="0" t="s">
        <v>976</v>
      </c>
      <c r="H34" s="0" t="n">
        <v>6</v>
      </c>
      <c r="I34" s="0" t="s">
        <v>438</v>
      </c>
      <c r="J34" s="0" t="s">
        <v>315</v>
      </c>
    </row>
    <row r="35" customFormat="false" ht="12.5" hidden="false" customHeight="false" outlineLevel="0" collapsed="false">
      <c r="A35" s="5" t="n">
        <v>46075</v>
      </c>
      <c r="B35" s="0" t="s">
        <v>959</v>
      </c>
      <c r="C35" s="0" t="s">
        <v>962</v>
      </c>
      <c r="D35" s="0" t="s">
        <v>956</v>
      </c>
      <c r="E35" s="0" t="s">
        <v>129</v>
      </c>
      <c r="F35" s="24" t="s">
        <v>960</v>
      </c>
      <c r="G35" s="0" t="s">
        <v>961</v>
      </c>
      <c r="H35" s="0" t="n">
        <v>6</v>
      </c>
      <c r="I35" s="0" t="s">
        <v>438</v>
      </c>
      <c r="J35" s="0" t="s">
        <v>315</v>
      </c>
    </row>
    <row r="36" customFormat="false" ht="12.5" hidden="false" customHeight="false" outlineLevel="0" collapsed="false">
      <c r="A36" s="5" t="n">
        <v>46075</v>
      </c>
      <c r="B36" s="0" t="s">
        <v>972</v>
      </c>
      <c r="C36" s="0" t="s">
        <v>969</v>
      </c>
      <c r="D36" s="0" t="s">
        <v>956</v>
      </c>
      <c r="E36" s="0" t="s">
        <v>129</v>
      </c>
      <c r="F36" s="24" t="s">
        <v>974</v>
      </c>
      <c r="G36" s="0" t="s">
        <v>975</v>
      </c>
      <c r="H36" s="0" t="n">
        <v>6</v>
      </c>
      <c r="I36" s="0" t="s">
        <v>438</v>
      </c>
      <c r="J36" s="0" t="s">
        <v>315</v>
      </c>
    </row>
    <row r="37" customFormat="false" ht="12.5" hidden="false" customHeight="false" outlineLevel="0" collapsed="false">
      <c r="A37" s="5" t="n">
        <v>46074</v>
      </c>
      <c r="B37" s="0" t="s">
        <v>967</v>
      </c>
      <c r="C37" s="0" t="s">
        <v>608</v>
      </c>
      <c r="D37" s="0" t="s">
        <v>956</v>
      </c>
      <c r="E37" s="0" t="s">
        <v>129</v>
      </c>
      <c r="F37" s="24" t="s">
        <v>449</v>
      </c>
      <c r="G37" s="0" t="s">
        <v>978</v>
      </c>
      <c r="H37" s="0" t="n">
        <v>6</v>
      </c>
      <c r="I37" s="0" t="s">
        <v>438</v>
      </c>
      <c r="J37" s="0" t="s">
        <v>315</v>
      </c>
    </row>
    <row r="38" customFormat="false" ht="12.5" hidden="false" customHeight="false" outlineLevel="0" collapsed="false">
      <c r="A38" s="5" t="n">
        <v>46082</v>
      </c>
      <c r="B38" s="0" t="s">
        <v>962</v>
      </c>
      <c r="C38" s="0" t="s">
        <v>972</v>
      </c>
      <c r="D38" s="0" t="s">
        <v>956</v>
      </c>
      <c r="E38" s="0" t="s">
        <v>129</v>
      </c>
      <c r="F38" s="24" t="s">
        <v>964</v>
      </c>
      <c r="G38" s="0" t="s">
        <v>965</v>
      </c>
      <c r="H38" s="0" t="n">
        <v>7</v>
      </c>
      <c r="I38" s="0" t="s">
        <v>438</v>
      </c>
      <c r="J38" s="0" t="s">
        <v>315</v>
      </c>
    </row>
    <row r="39" customFormat="false" ht="12.5" hidden="false" customHeight="false" outlineLevel="0" collapsed="false">
      <c r="A39" s="5" t="n">
        <v>46082</v>
      </c>
      <c r="B39" s="0" t="s">
        <v>439</v>
      </c>
      <c r="C39" s="0" t="s">
        <v>596</v>
      </c>
      <c r="D39" s="0" t="s">
        <v>956</v>
      </c>
      <c r="E39" s="0" t="s">
        <v>129</v>
      </c>
      <c r="F39" s="24" t="s">
        <v>957</v>
      </c>
      <c r="G39" s="0" t="s">
        <v>977</v>
      </c>
      <c r="H39" s="0" t="n">
        <v>7</v>
      </c>
      <c r="I39" s="0" t="s">
        <v>438</v>
      </c>
      <c r="J39" s="0" t="s">
        <v>315</v>
      </c>
    </row>
    <row r="40" customFormat="false" ht="12.5" hidden="false" customHeight="false" outlineLevel="0" collapsed="false">
      <c r="A40" s="5" t="n">
        <v>46082</v>
      </c>
      <c r="B40" s="0" t="s">
        <v>969</v>
      </c>
      <c r="C40" s="0" t="s">
        <v>966</v>
      </c>
      <c r="D40" s="0" t="s">
        <v>956</v>
      </c>
      <c r="E40" s="0" t="s">
        <v>129</v>
      </c>
      <c r="F40" s="24" t="s">
        <v>970</v>
      </c>
      <c r="G40" s="0" t="s">
        <v>971</v>
      </c>
      <c r="H40" s="0" t="n">
        <v>7</v>
      </c>
      <c r="I40" s="0" t="s">
        <v>438</v>
      </c>
      <c r="J40" s="0" t="s">
        <v>315</v>
      </c>
    </row>
    <row r="41" customFormat="false" ht="12.5" hidden="false" customHeight="false" outlineLevel="0" collapsed="false">
      <c r="A41" s="5" t="n">
        <v>46082</v>
      </c>
      <c r="B41" s="0" t="s">
        <v>955</v>
      </c>
      <c r="C41" s="0" t="s">
        <v>967</v>
      </c>
      <c r="D41" s="0" t="s">
        <v>956</v>
      </c>
      <c r="E41" s="0" t="s">
        <v>129</v>
      </c>
      <c r="F41" s="24" t="s">
        <v>957</v>
      </c>
      <c r="G41" s="0" t="s">
        <v>958</v>
      </c>
      <c r="H41" s="0" t="n">
        <v>7</v>
      </c>
      <c r="I41" s="0" t="s">
        <v>438</v>
      </c>
      <c r="J41" s="0" t="s">
        <v>315</v>
      </c>
    </row>
    <row r="42" customFormat="false" ht="12.5" hidden="false" customHeight="false" outlineLevel="0" collapsed="false">
      <c r="A42" s="5" t="n">
        <v>46082</v>
      </c>
      <c r="B42" s="0" t="s">
        <v>608</v>
      </c>
      <c r="C42" s="0" t="s">
        <v>959</v>
      </c>
      <c r="D42" s="0" t="s">
        <v>956</v>
      </c>
      <c r="E42" s="0" t="s">
        <v>129</v>
      </c>
      <c r="F42" s="24" t="s">
        <v>957</v>
      </c>
      <c r="G42" s="0" t="s">
        <v>982</v>
      </c>
      <c r="H42" s="0" t="n">
        <v>7</v>
      </c>
      <c r="I42" s="0" t="s">
        <v>438</v>
      </c>
      <c r="J42" s="0" t="s">
        <v>315</v>
      </c>
    </row>
    <row r="43" customFormat="false" ht="12.5" hidden="false" customHeight="false" outlineLevel="0" collapsed="false">
      <c r="A43" s="5" t="n">
        <v>46082</v>
      </c>
      <c r="B43" s="0" t="s">
        <v>963</v>
      </c>
      <c r="C43" s="0" t="s">
        <v>657</v>
      </c>
      <c r="D43" s="0" t="s">
        <v>956</v>
      </c>
      <c r="E43" s="0" t="s">
        <v>129</v>
      </c>
      <c r="F43" s="24" t="s">
        <v>964</v>
      </c>
      <c r="G43" s="0" t="s">
        <v>981</v>
      </c>
      <c r="H43" s="0" t="n">
        <v>7</v>
      </c>
      <c r="I43" s="0" t="s">
        <v>438</v>
      </c>
      <c r="J43" s="0" t="s">
        <v>315</v>
      </c>
    </row>
    <row r="44" customFormat="false" ht="12.5" hidden="false" customHeight="false" outlineLevel="0" collapsed="false">
      <c r="A44" s="5" t="n">
        <v>46088</v>
      </c>
      <c r="B44" s="0" t="s">
        <v>967</v>
      </c>
      <c r="C44" s="0" t="s">
        <v>439</v>
      </c>
      <c r="D44" s="0" t="s">
        <v>956</v>
      </c>
      <c r="E44" s="0" t="s">
        <v>129</v>
      </c>
      <c r="F44" s="24" t="s">
        <v>449</v>
      </c>
      <c r="G44" s="0" t="s">
        <v>978</v>
      </c>
      <c r="H44" s="0" t="n">
        <v>8</v>
      </c>
      <c r="I44" s="0" t="s">
        <v>438</v>
      </c>
      <c r="J44" s="0" t="s">
        <v>315</v>
      </c>
    </row>
    <row r="45" customFormat="false" ht="12.5" hidden="false" customHeight="false" outlineLevel="0" collapsed="false">
      <c r="A45" s="5" t="n">
        <v>46089</v>
      </c>
      <c r="B45" s="0" t="s">
        <v>973</v>
      </c>
      <c r="C45" s="0" t="s">
        <v>963</v>
      </c>
      <c r="D45" s="0" t="s">
        <v>956</v>
      </c>
      <c r="E45" s="0" t="s">
        <v>129</v>
      </c>
      <c r="F45" s="24" t="s">
        <v>329</v>
      </c>
      <c r="G45" s="0" t="s">
        <v>980</v>
      </c>
      <c r="H45" s="0" t="n">
        <v>8</v>
      </c>
      <c r="I45" s="0" t="s">
        <v>438</v>
      </c>
      <c r="J45" s="0" t="s">
        <v>315</v>
      </c>
    </row>
    <row r="46" customFormat="false" ht="12.5" hidden="false" customHeight="false" outlineLevel="0" collapsed="false">
      <c r="A46" s="5" t="n">
        <v>46089</v>
      </c>
      <c r="B46" s="0" t="s">
        <v>959</v>
      </c>
      <c r="C46" s="0" t="s">
        <v>955</v>
      </c>
      <c r="D46" s="0" t="s">
        <v>956</v>
      </c>
      <c r="E46" s="0" t="s">
        <v>129</v>
      </c>
      <c r="F46" s="24" t="s">
        <v>960</v>
      </c>
      <c r="G46" s="0" t="s">
        <v>961</v>
      </c>
      <c r="H46" s="0" t="n">
        <v>8</v>
      </c>
      <c r="I46" s="0" t="s">
        <v>438</v>
      </c>
      <c r="J46" s="0" t="s">
        <v>315</v>
      </c>
    </row>
    <row r="47" customFormat="false" ht="12.5" hidden="false" customHeight="false" outlineLevel="0" collapsed="false">
      <c r="A47" s="5" t="n">
        <v>46089</v>
      </c>
      <c r="B47" s="0" t="s">
        <v>962</v>
      </c>
      <c r="C47" s="0" t="s">
        <v>657</v>
      </c>
      <c r="D47" s="0" t="s">
        <v>956</v>
      </c>
      <c r="E47" s="0" t="s">
        <v>129</v>
      </c>
      <c r="F47" s="24" t="s">
        <v>964</v>
      </c>
      <c r="G47" s="0" t="s">
        <v>965</v>
      </c>
      <c r="H47" s="0" t="n">
        <v>8</v>
      </c>
      <c r="I47" s="0" t="s">
        <v>438</v>
      </c>
      <c r="J47" s="0" t="s">
        <v>315</v>
      </c>
    </row>
    <row r="48" customFormat="false" ht="12.5" hidden="false" customHeight="false" outlineLevel="0" collapsed="false">
      <c r="A48" s="5" t="n">
        <v>46089</v>
      </c>
      <c r="B48" s="0" t="s">
        <v>608</v>
      </c>
      <c r="C48" s="0" t="s">
        <v>969</v>
      </c>
      <c r="D48" s="0" t="s">
        <v>956</v>
      </c>
      <c r="E48" s="0" t="s">
        <v>129</v>
      </c>
      <c r="F48" s="24" t="s">
        <v>957</v>
      </c>
      <c r="G48" s="0" t="s">
        <v>982</v>
      </c>
      <c r="H48" s="0" t="n">
        <v>8</v>
      </c>
      <c r="I48" s="0" t="s">
        <v>438</v>
      </c>
      <c r="J48" s="0" t="s">
        <v>315</v>
      </c>
    </row>
    <row r="49" customFormat="false" ht="12.5" hidden="false" customHeight="false" outlineLevel="0" collapsed="false">
      <c r="A49" s="5" t="n">
        <v>46089</v>
      </c>
      <c r="B49" s="0" t="s">
        <v>657</v>
      </c>
      <c r="C49" s="0" t="s">
        <v>973</v>
      </c>
      <c r="D49" s="0" t="s">
        <v>956</v>
      </c>
      <c r="E49" s="0" t="s">
        <v>129</v>
      </c>
      <c r="F49" s="24" t="s">
        <v>970</v>
      </c>
      <c r="G49" s="0" t="s">
        <v>979</v>
      </c>
      <c r="H49" s="0" t="n">
        <v>8</v>
      </c>
      <c r="I49" s="0" t="s">
        <v>438</v>
      </c>
      <c r="J49" s="0" t="s">
        <v>315</v>
      </c>
    </row>
    <row r="50" customFormat="false" ht="12.5" hidden="false" customHeight="false" outlineLevel="0" collapsed="false">
      <c r="A50" s="5" t="n">
        <v>46096</v>
      </c>
      <c r="B50" s="0" t="s">
        <v>955</v>
      </c>
      <c r="C50" s="0" t="s">
        <v>972</v>
      </c>
      <c r="D50" s="0" t="s">
        <v>956</v>
      </c>
      <c r="E50" s="0" t="s">
        <v>129</v>
      </c>
      <c r="F50" s="24" t="s">
        <v>957</v>
      </c>
      <c r="G50" s="0" t="s">
        <v>958</v>
      </c>
      <c r="H50" s="0" t="n">
        <v>9</v>
      </c>
      <c r="I50" s="0" t="s">
        <v>438</v>
      </c>
      <c r="J50" s="0" t="s">
        <v>315</v>
      </c>
    </row>
    <row r="51" customFormat="false" ht="12.5" hidden="false" customHeight="false" outlineLevel="0" collapsed="false">
      <c r="A51" s="5" t="n">
        <v>46096</v>
      </c>
      <c r="B51" s="0" t="s">
        <v>963</v>
      </c>
      <c r="C51" s="0" t="s">
        <v>596</v>
      </c>
      <c r="D51" s="0" t="s">
        <v>956</v>
      </c>
      <c r="E51" s="0" t="s">
        <v>129</v>
      </c>
      <c r="F51" s="24" t="s">
        <v>964</v>
      </c>
      <c r="G51" s="0" t="s">
        <v>981</v>
      </c>
      <c r="H51" s="0" t="n">
        <v>9</v>
      </c>
      <c r="I51" s="0" t="s">
        <v>438</v>
      </c>
      <c r="J51" s="0" t="s">
        <v>315</v>
      </c>
    </row>
    <row r="52" customFormat="false" ht="12.5" hidden="false" customHeight="false" outlineLevel="0" collapsed="false">
      <c r="A52" s="5" t="n">
        <v>46096</v>
      </c>
      <c r="B52" s="0" t="s">
        <v>962</v>
      </c>
      <c r="C52" s="0" t="s">
        <v>966</v>
      </c>
      <c r="D52" s="0" t="s">
        <v>956</v>
      </c>
      <c r="E52" s="0" t="s">
        <v>129</v>
      </c>
      <c r="F52" s="24" t="s">
        <v>964</v>
      </c>
      <c r="G52" s="0" t="s">
        <v>965</v>
      </c>
      <c r="H52" s="0" t="n">
        <v>9</v>
      </c>
      <c r="I52" s="0" t="s">
        <v>438</v>
      </c>
      <c r="J52" s="0" t="s">
        <v>315</v>
      </c>
    </row>
    <row r="53" customFormat="false" ht="12.5" hidden="false" customHeight="false" outlineLevel="0" collapsed="false">
      <c r="A53" s="5" t="n">
        <v>46096</v>
      </c>
      <c r="B53" s="0" t="s">
        <v>439</v>
      </c>
      <c r="C53" s="0" t="s">
        <v>959</v>
      </c>
      <c r="D53" s="0" t="s">
        <v>956</v>
      </c>
      <c r="E53" s="0" t="s">
        <v>129</v>
      </c>
      <c r="F53" s="24" t="s">
        <v>957</v>
      </c>
      <c r="G53" s="0" t="s">
        <v>977</v>
      </c>
      <c r="H53" s="0" t="n">
        <v>9</v>
      </c>
      <c r="I53" s="0" t="s">
        <v>438</v>
      </c>
      <c r="J53" s="0" t="s">
        <v>315</v>
      </c>
    </row>
    <row r="54" customFormat="false" ht="12.5" hidden="false" customHeight="false" outlineLevel="0" collapsed="false">
      <c r="A54" s="5" t="n">
        <v>46096</v>
      </c>
      <c r="B54" s="0" t="s">
        <v>608</v>
      </c>
      <c r="C54" s="0" t="s">
        <v>969</v>
      </c>
      <c r="D54" s="0" t="s">
        <v>956</v>
      </c>
      <c r="E54" s="0" t="s">
        <v>129</v>
      </c>
      <c r="F54" s="24" t="s">
        <v>957</v>
      </c>
      <c r="G54" s="0" t="s">
        <v>982</v>
      </c>
      <c r="H54" s="0" t="n">
        <v>9</v>
      </c>
      <c r="I54" s="0" t="s">
        <v>438</v>
      </c>
      <c r="J54" s="0" t="s">
        <v>315</v>
      </c>
    </row>
    <row r="55" customFormat="false" ht="12.5" hidden="false" customHeight="false" outlineLevel="0" collapsed="false">
      <c r="A55" s="5" t="n">
        <v>46096</v>
      </c>
      <c r="B55" s="0" t="s">
        <v>657</v>
      </c>
      <c r="C55" s="0" t="s">
        <v>973</v>
      </c>
      <c r="D55" s="0" t="s">
        <v>956</v>
      </c>
      <c r="E55" s="0" t="s">
        <v>129</v>
      </c>
      <c r="F55" s="24" t="s">
        <v>970</v>
      </c>
      <c r="G55" s="0" t="s">
        <v>979</v>
      </c>
      <c r="H55" s="0" t="n">
        <v>9</v>
      </c>
      <c r="I55" s="0" t="s">
        <v>438</v>
      </c>
      <c r="J55" s="0" t="s">
        <v>315</v>
      </c>
    </row>
    <row r="56" customFormat="false" ht="12.5" hidden="false" customHeight="false" outlineLevel="0" collapsed="false">
      <c r="A56" s="5" t="n">
        <v>46103</v>
      </c>
      <c r="B56" s="0" t="s">
        <v>972</v>
      </c>
      <c r="C56" s="0" t="s">
        <v>439</v>
      </c>
      <c r="D56" s="0" t="s">
        <v>956</v>
      </c>
      <c r="E56" s="0" t="s">
        <v>129</v>
      </c>
      <c r="F56" s="24" t="s">
        <v>974</v>
      </c>
      <c r="G56" s="0" t="s">
        <v>975</v>
      </c>
      <c r="H56" s="0" t="n">
        <v>10</v>
      </c>
      <c r="I56" s="0" t="s">
        <v>438</v>
      </c>
      <c r="J56" s="0" t="s">
        <v>315</v>
      </c>
    </row>
    <row r="57" customFormat="false" ht="12.5" hidden="false" customHeight="false" outlineLevel="0" collapsed="false">
      <c r="A57" s="5" t="n">
        <v>46102</v>
      </c>
      <c r="B57" s="0" t="s">
        <v>967</v>
      </c>
      <c r="C57" s="0" t="s">
        <v>963</v>
      </c>
      <c r="D57" s="0" t="s">
        <v>956</v>
      </c>
      <c r="E57" s="0" t="s">
        <v>129</v>
      </c>
      <c r="F57" s="24" t="s">
        <v>449</v>
      </c>
      <c r="G57" s="0" t="s">
        <v>978</v>
      </c>
      <c r="H57" s="0" t="n">
        <v>10</v>
      </c>
      <c r="I57" s="0" t="s">
        <v>438</v>
      </c>
      <c r="J57" s="0" t="s">
        <v>315</v>
      </c>
    </row>
    <row r="58" customFormat="false" ht="12.5" hidden="false" customHeight="false" outlineLevel="0" collapsed="false">
      <c r="A58" s="5" t="n">
        <v>46103</v>
      </c>
      <c r="B58" s="0" t="s">
        <v>969</v>
      </c>
      <c r="C58" s="0" t="s">
        <v>955</v>
      </c>
      <c r="D58" s="0" t="s">
        <v>956</v>
      </c>
      <c r="E58" s="0" t="s">
        <v>129</v>
      </c>
      <c r="F58" s="24" t="s">
        <v>970</v>
      </c>
      <c r="G58" s="0" t="s">
        <v>971</v>
      </c>
      <c r="H58" s="0" t="n">
        <v>10</v>
      </c>
      <c r="I58" s="0" t="s">
        <v>438</v>
      </c>
      <c r="J58" s="0" t="s">
        <v>315</v>
      </c>
    </row>
    <row r="59" customFormat="false" ht="12.5" hidden="false" customHeight="false" outlineLevel="0" collapsed="false">
      <c r="A59" s="5" t="n">
        <v>46103</v>
      </c>
      <c r="B59" s="0" t="s">
        <v>596</v>
      </c>
      <c r="C59" s="0" t="s">
        <v>657</v>
      </c>
      <c r="D59" s="0" t="s">
        <v>956</v>
      </c>
      <c r="E59" s="0" t="s">
        <v>129</v>
      </c>
      <c r="F59" s="24" t="s">
        <v>964</v>
      </c>
      <c r="G59" s="0" t="s">
        <v>976</v>
      </c>
      <c r="H59" s="0" t="n">
        <v>10</v>
      </c>
      <c r="I59" s="0" t="s">
        <v>438</v>
      </c>
      <c r="J59" s="0" t="s">
        <v>315</v>
      </c>
    </row>
    <row r="60" customFormat="false" ht="12.5" hidden="false" customHeight="false" outlineLevel="0" collapsed="false">
      <c r="A60" s="5" t="n">
        <v>46103</v>
      </c>
      <c r="B60" s="0" t="s">
        <v>966</v>
      </c>
      <c r="C60" s="0" t="s">
        <v>973</v>
      </c>
      <c r="D60" s="0" t="s">
        <v>956</v>
      </c>
      <c r="E60" s="0" t="s">
        <v>129</v>
      </c>
      <c r="F60" s="24" t="n">
        <v>0.677083333333333</v>
      </c>
      <c r="G60" s="0" t="s">
        <v>968</v>
      </c>
      <c r="H60" s="0" t="n">
        <v>10</v>
      </c>
      <c r="I60" s="0" t="s">
        <v>438</v>
      </c>
      <c r="J60" s="0" t="s">
        <v>315</v>
      </c>
    </row>
    <row r="61" customFormat="false" ht="12.5" hidden="false" customHeight="false" outlineLevel="0" collapsed="false">
      <c r="A61" s="5" t="n">
        <v>46103</v>
      </c>
      <c r="B61" s="0" t="s">
        <v>962</v>
      </c>
      <c r="C61" s="0" t="s">
        <v>608</v>
      </c>
      <c r="D61" s="0" t="s">
        <v>956</v>
      </c>
      <c r="E61" s="0" t="s">
        <v>129</v>
      </c>
      <c r="F61" s="24" t="s">
        <v>964</v>
      </c>
      <c r="G61" s="0" t="s">
        <v>965</v>
      </c>
      <c r="H61" s="0" t="n">
        <v>10</v>
      </c>
      <c r="I61" s="0" t="s">
        <v>438</v>
      </c>
      <c r="J61" s="0" t="s">
        <v>315</v>
      </c>
    </row>
    <row r="62" customFormat="false" ht="12.5" hidden="false" customHeight="false" outlineLevel="0" collapsed="false">
      <c r="A62" s="5" t="n">
        <v>46110</v>
      </c>
      <c r="B62" s="0" t="s">
        <v>973</v>
      </c>
      <c r="C62" s="0" t="s">
        <v>596</v>
      </c>
      <c r="D62" s="0" t="s">
        <v>956</v>
      </c>
      <c r="E62" s="0" t="s">
        <v>129</v>
      </c>
      <c r="F62" s="24" t="s">
        <v>329</v>
      </c>
      <c r="G62" s="0" t="s">
        <v>980</v>
      </c>
      <c r="H62" s="0" t="n">
        <v>11</v>
      </c>
      <c r="I62" s="0" t="s">
        <v>438</v>
      </c>
      <c r="J62" s="0" t="s">
        <v>315</v>
      </c>
    </row>
    <row r="63" customFormat="false" ht="12.5" hidden="false" customHeight="false" outlineLevel="0" collapsed="false">
      <c r="A63" s="5" t="n">
        <v>46110</v>
      </c>
      <c r="B63" s="0" t="s">
        <v>608</v>
      </c>
      <c r="C63" s="0" t="s">
        <v>966</v>
      </c>
      <c r="D63" s="0" t="s">
        <v>956</v>
      </c>
      <c r="E63" s="0" t="s">
        <v>129</v>
      </c>
      <c r="F63" s="24" t="s">
        <v>957</v>
      </c>
      <c r="G63" s="0" t="s">
        <v>982</v>
      </c>
      <c r="H63" s="0" t="n">
        <v>11</v>
      </c>
      <c r="I63" s="0" t="s">
        <v>438</v>
      </c>
      <c r="J63" s="0" t="s">
        <v>315</v>
      </c>
    </row>
    <row r="64" customFormat="false" ht="12.5" hidden="false" customHeight="false" outlineLevel="0" collapsed="false">
      <c r="A64" s="5" t="n">
        <v>46110</v>
      </c>
      <c r="B64" s="0" t="s">
        <v>657</v>
      </c>
      <c r="C64" s="0" t="s">
        <v>967</v>
      </c>
      <c r="D64" s="0" t="s">
        <v>956</v>
      </c>
      <c r="E64" s="0" t="s">
        <v>129</v>
      </c>
      <c r="F64" s="24" t="s">
        <v>970</v>
      </c>
      <c r="G64" s="0" t="s">
        <v>979</v>
      </c>
      <c r="H64" s="0" t="n">
        <v>11</v>
      </c>
      <c r="I64" s="0" t="s">
        <v>438</v>
      </c>
      <c r="J64" s="0" t="s">
        <v>315</v>
      </c>
    </row>
    <row r="65" customFormat="false" ht="12.5" hidden="false" customHeight="false" outlineLevel="0" collapsed="false">
      <c r="A65" s="5" t="n">
        <v>46110</v>
      </c>
      <c r="B65" s="0" t="s">
        <v>963</v>
      </c>
      <c r="C65" s="0" t="s">
        <v>959</v>
      </c>
      <c r="D65" s="0" t="s">
        <v>956</v>
      </c>
      <c r="E65" s="0" t="s">
        <v>129</v>
      </c>
      <c r="F65" s="24" t="s">
        <v>964</v>
      </c>
      <c r="G65" s="0" t="s">
        <v>981</v>
      </c>
      <c r="H65" s="0" t="n">
        <v>11</v>
      </c>
      <c r="I65" s="0" t="s">
        <v>438</v>
      </c>
      <c r="J65" s="0" t="s">
        <v>315</v>
      </c>
    </row>
    <row r="66" customFormat="false" ht="12.5" hidden="false" customHeight="false" outlineLevel="0" collapsed="false">
      <c r="A66" s="5" t="n">
        <v>46110</v>
      </c>
      <c r="B66" s="0" t="s">
        <v>955</v>
      </c>
      <c r="C66" s="0" t="s">
        <v>962</v>
      </c>
      <c r="D66" s="0" t="s">
        <v>956</v>
      </c>
      <c r="E66" s="0" t="s">
        <v>129</v>
      </c>
      <c r="F66" s="24" t="s">
        <v>957</v>
      </c>
      <c r="G66" s="0" t="s">
        <v>958</v>
      </c>
      <c r="H66" s="0" t="n">
        <v>11</v>
      </c>
      <c r="I66" s="0" t="s">
        <v>438</v>
      </c>
      <c r="J66" s="0" t="s">
        <v>315</v>
      </c>
    </row>
    <row r="67" customFormat="false" ht="12.5" hidden="false" customHeight="false" outlineLevel="0" collapsed="false">
      <c r="A67" s="5" t="n">
        <v>46110</v>
      </c>
      <c r="B67" s="0" t="s">
        <v>439</v>
      </c>
      <c r="C67" s="0" t="s">
        <v>969</v>
      </c>
      <c r="D67" s="0" t="s">
        <v>956</v>
      </c>
      <c r="E67" s="0" t="s">
        <v>129</v>
      </c>
      <c r="F67" s="24" t="s">
        <v>957</v>
      </c>
      <c r="G67" s="0" t="s">
        <v>977</v>
      </c>
      <c r="H67" s="0" t="n">
        <v>11</v>
      </c>
      <c r="I67" s="0" t="s">
        <v>438</v>
      </c>
      <c r="J67" s="0" t="s">
        <v>315</v>
      </c>
    </row>
    <row r="68" customFormat="false" ht="12.5" hidden="false" customHeight="false" outlineLevel="0" collapsed="false">
      <c r="A68" s="5" t="n">
        <v>46124</v>
      </c>
      <c r="B68" s="0" t="s">
        <v>984</v>
      </c>
      <c r="C68" s="0" t="s">
        <v>985</v>
      </c>
      <c r="D68" s="0" t="s">
        <v>956</v>
      </c>
      <c r="E68" s="0" t="s">
        <v>129</v>
      </c>
      <c r="F68" s="24" t="s">
        <v>964</v>
      </c>
      <c r="G68" s="0" t="s">
        <v>986</v>
      </c>
      <c r="H68" s="0" t="n">
        <v>12</v>
      </c>
      <c r="I68" s="0" t="s">
        <v>438</v>
      </c>
      <c r="J68" s="0" t="s">
        <v>315</v>
      </c>
    </row>
    <row r="69" customFormat="false" ht="12.5" hidden="false" customHeight="false" outlineLevel="0" collapsed="false">
      <c r="A69" s="5" t="n">
        <v>46124</v>
      </c>
      <c r="B69" s="0" t="s">
        <v>987</v>
      </c>
      <c r="C69" s="0" t="s">
        <v>988</v>
      </c>
      <c r="D69" s="0" t="s">
        <v>956</v>
      </c>
      <c r="E69" s="0" t="s">
        <v>129</v>
      </c>
      <c r="F69" s="24" t="n">
        <v>0.677083333333333</v>
      </c>
      <c r="G69" s="0" t="s">
        <v>968</v>
      </c>
      <c r="H69" s="0" t="n">
        <v>11</v>
      </c>
      <c r="I69" s="0" t="s">
        <v>438</v>
      </c>
      <c r="J69" s="0" t="s">
        <v>315</v>
      </c>
    </row>
    <row r="70" customFormat="false" ht="12.5" hidden="false" customHeight="false" outlineLevel="0" collapsed="false">
      <c r="A70" s="5" t="n">
        <v>46124</v>
      </c>
      <c r="B70" s="0" t="s">
        <v>989</v>
      </c>
      <c r="C70" s="0" t="s">
        <v>990</v>
      </c>
      <c r="D70" s="0" t="s">
        <v>956</v>
      </c>
      <c r="E70" s="0" t="s">
        <v>129</v>
      </c>
      <c r="F70" s="24" t="s">
        <v>991</v>
      </c>
      <c r="G70" s="0" t="s">
        <v>992</v>
      </c>
      <c r="H70" s="0" t="n">
        <v>12</v>
      </c>
      <c r="I70" s="0" t="s">
        <v>438</v>
      </c>
      <c r="J70" s="0" t="s">
        <v>315</v>
      </c>
    </row>
    <row r="71" customFormat="false" ht="12.5" hidden="false" customHeight="false" outlineLevel="0" collapsed="false">
      <c r="A71" s="5" t="n">
        <v>46124</v>
      </c>
      <c r="B71" s="0" t="s">
        <v>993</v>
      </c>
      <c r="C71" s="0" t="s">
        <v>994</v>
      </c>
      <c r="D71" s="0" t="s">
        <v>956</v>
      </c>
      <c r="E71" s="0" t="s">
        <v>129</v>
      </c>
      <c r="F71" s="24" t="s">
        <v>957</v>
      </c>
      <c r="G71" s="0" t="s">
        <v>995</v>
      </c>
      <c r="H71" s="0" t="n">
        <v>12</v>
      </c>
      <c r="I71" s="0" t="s">
        <v>438</v>
      </c>
      <c r="J71" s="0" t="s">
        <v>315</v>
      </c>
    </row>
    <row r="72" customFormat="false" ht="12.5" hidden="false" customHeight="false" outlineLevel="0" collapsed="false">
      <c r="A72" s="5" t="n">
        <v>46124</v>
      </c>
      <c r="B72" s="0" t="s">
        <v>996</v>
      </c>
      <c r="C72" s="0" t="s">
        <v>997</v>
      </c>
      <c r="D72" s="0" t="s">
        <v>956</v>
      </c>
      <c r="E72" s="0" t="s">
        <v>129</v>
      </c>
      <c r="F72" s="24" t="s">
        <v>960</v>
      </c>
      <c r="G72" s="0" t="s">
        <v>998</v>
      </c>
      <c r="H72" s="0" t="n">
        <v>12</v>
      </c>
      <c r="I72" s="0" t="s">
        <v>438</v>
      </c>
      <c r="J72" s="0" t="s">
        <v>315</v>
      </c>
    </row>
    <row r="73" customFormat="false" ht="12.5" hidden="false" customHeight="false" outlineLevel="0" collapsed="false">
      <c r="A73" s="5" t="n">
        <v>46123</v>
      </c>
      <c r="B73" s="0" t="s">
        <v>999</v>
      </c>
      <c r="C73" s="0" t="s">
        <v>1000</v>
      </c>
      <c r="D73" s="0" t="s">
        <v>956</v>
      </c>
      <c r="E73" s="0" t="s">
        <v>129</v>
      </c>
      <c r="F73" s="24" t="s">
        <v>970</v>
      </c>
      <c r="G73" s="0" t="s">
        <v>1001</v>
      </c>
      <c r="H73" s="0" t="n">
        <v>12</v>
      </c>
      <c r="I73" s="0" t="s">
        <v>438</v>
      </c>
      <c r="J73" s="0" t="s">
        <v>315</v>
      </c>
    </row>
    <row r="74" customFormat="false" ht="12.5" hidden="false" customHeight="false" outlineLevel="0" collapsed="false">
      <c r="A74" s="5" t="n">
        <v>46131</v>
      </c>
      <c r="B74" s="0" t="s">
        <v>997</v>
      </c>
      <c r="C74" s="0" t="s">
        <v>989</v>
      </c>
      <c r="D74" s="0" t="s">
        <v>956</v>
      </c>
      <c r="E74" s="0" t="s">
        <v>129</v>
      </c>
      <c r="F74" s="24" t="s">
        <v>970</v>
      </c>
      <c r="G74" s="0" t="s">
        <v>1002</v>
      </c>
      <c r="H74" s="0" t="n">
        <v>13</v>
      </c>
      <c r="I74" s="0" t="s">
        <v>438</v>
      </c>
      <c r="J74" s="0" t="s">
        <v>315</v>
      </c>
    </row>
    <row r="75" customFormat="false" ht="12.5" hidden="false" customHeight="false" outlineLevel="0" collapsed="false">
      <c r="A75" s="5" t="n">
        <v>46131</v>
      </c>
      <c r="B75" s="0" t="s">
        <v>994</v>
      </c>
      <c r="C75" s="0" t="s">
        <v>987</v>
      </c>
      <c r="D75" s="0" t="s">
        <v>956</v>
      </c>
      <c r="E75" s="0" t="s">
        <v>129</v>
      </c>
      <c r="F75" s="24" t="s">
        <v>957</v>
      </c>
      <c r="G75" s="0" t="s">
        <v>1003</v>
      </c>
      <c r="H75" s="0" t="n">
        <v>13</v>
      </c>
      <c r="I75" s="0" t="s">
        <v>438</v>
      </c>
      <c r="J75" s="0" t="s">
        <v>315</v>
      </c>
    </row>
    <row r="76" customFormat="false" ht="12.5" hidden="false" customHeight="false" outlineLevel="0" collapsed="false">
      <c r="A76" s="5" t="n">
        <v>46131</v>
      </c>
      <c r="B76" s="0" t="s">
        <v>988</v>
      </c>
      <c r="C76" s="0" t="s">
        <v>999</v>
      </c>
      <c r="D76" s="0" t="s">
        <v>956</v>
      </c>
      <c r="E76" s="0" t="s">
        <v>129</v>
      </c>
      <c r="F76" s="24" t="s">
        <v>964</v>
      </c>
      <c r="G76" s="0" t="s">
        <v>1004</v>
      </c>
      <c r="H76" s="0" t="n">
        <v>13</v>
      </c>
      <c r="I76" s="0" t="s">
        <v>438</v>
      </c>
      <c r="J76" s="0" t="s">
        <v>315</v>
      </c>
    </row>
    <row r="77" customFormat="false" ht="12.5" hidden="false" customHeight="false" outlineLevel="0" collapsed="false">
      <c r="A77" s="5" t="n">
        <v>46131</v>
      </c>
      <c r="B77" s="0" t="s">
        <v>1000</v>
      </c>
      <c r="C77" s="0" t="s">
        <v>996</v>
      </c>
      <c r="D77" s="0" t="s">
        <v>956</v>
      </c>
      <c r="E77" s="0" t="s">
        <v>129</v>
      </c>
      <c r="F77" s="24" t="s">
        <v>329</v>
      </c>
      <c r="G77" s="0" t="s">
        <v>1005</v>
      </c>
      <c r="H77" s="0" t="n">
        <v>13</v>
      </c>
      <c r="I77" s="0" t="s">
        <v>438</v>
      </c>
      <c r="J77" s="0" t="s">
        <v>315</v>
      </c>
    </row>
    <row r="78" customFormat="false" ht="12.5" hidden="false" customHeight="false" outlineLevel="0" collapsed="false">
      <c r="A78" s="5" t="n">
        <v>46131</v>
      </c>
      <c r="B78" s="0" t="s">
        <v>990</v>
      </c>
      <c r="C78" s="0" t="s">
        <v>1006</v>
      </c>
      <c r="D78" s="0" t="s">
        <v>956</v>
      </c>
      <c r="E78" s="0" t="s">
        <v>129</v>
      </c>
      <c r="F78" s="24" t="s">
        <v>964</v>
      </c>
      <c r="G78" s="0" t="s">
        <v>1007</v>
      </c>
      <c r="H78" s="0" t="n">
        <v>13</v>
      </c>
      <c r="I78" s="0" t="s">
        <v>438</v>
      </c>
      <c r="J78" s="0" t="s">
        <v>315</v>
      </c>
    </row>
    <row r="79" customFormat="false" ht="12.5" hidden="false" customHeight="false" outlineLevel="0" collapsed="false">
      <c r="A79" s="5" t="n">
        <v>46131</v>
      </c>
      <c r="B79" s="0" t="s">
        <v>1008</v>
      </c>
      <c r="C79" s="0" t="s">
        <v>993</v>
      </c>
      <c r="D79" s="0" t="s">
        <v>956</v>
      </c>
      <c r="E79" s="0" t="s">
        <v>129</v>
      </c>
      <c r="F79" s="24" t="s">
        <v>957</v>
      </c>
      <c r="G79" s="0" t="s">
        <v>405</v>
      </c>
      <c r="H79" s="0" t="n">
        <v>13</v>
      </c>
      <c r="I79" s="0" t="s">
        <v>438</v>
      </c>
      <c r="J79" s="0" t="s">
        <v>290</v>
      </c>
    </row>
    <row r="80" customFormat="false" ht="12.5" hidden="false" customHeight="false" outlineLevel="0" collapsed="false">
      <c r="A80" s="5" t="n">
        <v>46040</v>
      </c>
      <c r="B80" s="0" t="s">
        <v>1009</v>
      </c>
      <c r="C80" s="0" t="s">
        <v>1010</v>
      </c>
      <c r="D80" s="0" t="s">
        <v>956</v>
      </c>
      <c r="E80" s="0" t="s">
        <v>364</v>
      </c>
      <c r="F80" s="24" t="n">
        <v>0.46875</v>
      </c>
      <c r="G80" s="0" t="s">
        <v>1011</v>
      </c>
      <c r="H80" s="0" t="n">
        <v>1</v>
      </c>
      <c r="I80" s="0" t="s">
        <v>17</v>
      </c>
      <c r="J80" s="0" t="s">
        <v>290</v>
      </c>
    </row>
    <row r="81" customFormat="false" ht="12.5" hidden="false" customHeight="false" outlineLevel="0" collapsed="false">
      <c r="A81" s="5" t="n">
        <v>46040</v>
      </c>
      <c r="B81" s="0" t="s">
        <v>1012</v>
      </c>
      <c r="C81" s="0" t="s">
        <v>1013</v>
      </c>
      <c r="D81" s="0" t="s">
        <v>956</v>
      </c>
      <c r="E81" s="0" t="s">
        <v>364</v>
      </c>
      <c r="F81" s="24" t="n">
        <v>0.375</v>
      </c>
      <c r="G81" s="0" t="s">
        <v>1014</v>
      </c>
      <c r="H81" s="0" t="n">
        <v>1</v>
      </c>
      <c r="I81" s="0" t="s">
        <v>17</v>
      </c>
      <c r="J81" s="0" t="s">
        <v>290</v>
      </c>
    </row>
    <row r="82" customFormat="false" ht="12.5" hidden="false" customHeight="false" outlineLevel="0" collapsed="false">
      <c r="A82" s="5" t="n">
        <v>46040</v>
      </c>
      <c r="B82" s="0" t="s">
        <v>1015</v>
      </c>
      <c r="C82" s="0" t="s">
        <v>1016</v>
      </c>
      <c r="D82" s="0" t="s">
        <v>956</v>
      </c>
      <c r="E82" s="0" t="s">
        <v>364</v>
      </c>
      <c r="F82" s="24" t="n">
        <v>0.458333333333333</v>
      </c>
      <c r="G82" s="0" t="s">
        <v>1017</v>
      </c>
      <c r="H82" s="0" t="n">
        <v>1</v>
      </c>
      <c r="I82" s="0" t="s">
        <v>17</v>
      </c>
      <c r="J82" s="0" t="s">
        <v>290</v>
      </c>
    </row>
    <row r="83" customFormat="false" ht="12.5" hidden="false" customHeight="false" outlineLevel="0" collapsed="false">
      <c r="A83" s="5" t="n">
        <v>46040</v>
      </c>
      <c r="B83" s="0" t="s">
        <v>1018</v>
      </c>
      <c r="C83" s="0" t="s">
        <v>1019</v>
      </c>
      <c r="D83" s="0" t="s">
        <v>956</v>
      </c>
      <c r="E83" s="0" t="s">
        <v>364</v>
      </c>
      <c r="F83" s="24" t="n">
        <v>0.645833333333333</v>
      </c>
      <c r="G83" s="0" t="s">
        <v>1020</v>
      </c>
      <c r="H83" s="0" t="n">
        <v>1</v>
      </c>
      <c r="I83" s="0" t="s">
        <v>17</v>
      </c>
      <c r="J83" s="0" t="s">
        <v>290</v>
      </c>
    </row>
    <row r="84" customFormat="false" ht="12.5" hidden="false" customHeight="false" outlineLevel="0" collapsed="false">
      <c r="A84" s="5" t="n">
        <v>46040</v>
      </c>
      <c r="B84" s="0" t="s">
        <v>1021</v>
      </c>
      <c r="C84" s="0" t="s">
        <v>1022</v>
      </c>
      <c r="D84" s="0" t="s">
        <v>956</v>
      </c>
      <c r="E84" s="0" t="s">
        <v>364</v>
      </c>
      <c r="F84" s="24" t="n">
        <v>0.635416666666667</v>
      </c>
      <c r="G84" s="0" t="s">
        <v>1023</v>
      </c>
      <c r="H84" s="0" t="n">
        <v>1</v>
      </c>
      <c r="I84" s="0" t="s">
        <v>17</v>
      </c>
      <c r="J84" s="0" t="s">
        <v>290</v>
      </c>
    </row>
    <row r="85" customFormat="false" ht="12.5" hidden="false" customHeight="false" outlineLevel="0" collapsed="false">
      <c r="A85" s="5" t="n">
        <v>46040</v>
      </c>
      <c r="B85" s="0" t="s">
        <v>1024</v>
      </c>
      <c r="C85" s="0" t="s">
        <v>1025</v>
      </c>
      <c r="D85" s="0" t="s">
        <v>956</v>
      </c>
      <c r="E85" s="0" t="s">
        <v>364</v>
      </c>
      <c r="F85" s="24" t="n">
        <v>0.416666666666667</v>
      </c>
      <c r="G85" s="0" t="s">
        <v>1026</v>
      </c>
      <c r="H85" s="0" t="n">
        <v>1</v>
      </c>
      <c r="I85" s="0" t="s">
        <v>17</v>
      </c>
      <c r="J85" s="0" t="s">
        <v>290</v>
      </c>
    </row>
    <row r="86" customFormat="false" ht="12.5" hidden="false" customHeight="false" outlineLevel="0" collapsed="false">
      <c r="A86" s="5" t="n">
        <v>46040</v>
      </c>
      <c r="B86" s="0" t="s">
        <v>1027</v>
      </c>
      <c r="C86" s="0" t="s">
        <v>951</v>
      </c>
      <c r="D86" s="0" t="s">
        <v>956</v>
      </c>
      <c r="E86" s="0" t="s">
        <v>364</v>
      </c>
      <c r="F86" s="24" t="n">
        <v>0.75</v>
      </c>
      <c r="G86" s="0" t="s">
        <v>1028</v>
      </c>
      <c r="H86" s="0" t="n">
        <v>1</v>
      </c>
      <c r="I86" s="0" t="s">
        <v>17</v>
      </c>
      <c r="J86" s="0" t="s">
        <v>290</v>
      </c>
    </row>
    <row r="87" customFormat="false" ht="12.5" hidden="false" customHeight="false" outlineLevel="0" collapsed="false">
      <c r="A87" s="5" t="n">
        <v>46047</v>
      </c>
      <c r="B87" s="0" t="s">
        <v>1022</v>
      </c>
      <c r="C87" s="0" t="s">
        <v>1009</v>
      </c>
      <c r="D87" s="0" t="s">
        <v>956</v>
      </c>
      <c r="E87" s="0" t="s">
        <v>364</v>
      </c>
      <c r="F87" s="24" t="n">
        <v>0.4375</v>
      </c>
      <c r="G87" s="0" t="s">
        <v>1029</v>
      </c>
      <c r="H87" s="0" t="n">
        <v>2</v>
      </c>
      <c r="I87" s="0" t="s">
        <v>17</v>
      </c>
      <c r="J87" s="0" t="s">
        <v>290</v>
      </c>
    </row>
    <row r="88" customFormat="false" ht="12.5" hidden="false" customHeight="false" outlineLevel="0" collapsed="false">
      <c r="A88" s="5" t="n">
        <v>46047</v>
      </c>
      <c r="B88" s="0" t="s">
        <v>1010</v>
      </c>
      <c r="C88" s="0" t="s">
        <v>1012</v>
      </c>
      <c r="D88" s="0" t="s">
        <v>956</v>
      </c>
      <c r="E88" s="0" t="s">
        <v>364</v>
      </c>
      <c r="F88" s="24" t="n">
        <v>0.697916666666667</v>
      </c>
      <c r="G88" s="0" t="s">
        <v>1030</v>
      </c>
      <c r="H88" s="0" t="n">
        <v>2</v>
      </c>
      <c r="I88" s="0" t="s">
        <v>17</v>
      </c>
      <c r="J88" s="0" t="s">
        <v>290</v>
      </c>
    </row>
    <row r="89" customFormat="false" ht="12.5" hidden="false" customHeight="false" outlineLevel="0" collapsed="false">
      <c r="A89" s="5" t="n">
        <v>46047</v>
      </c>
      <c r="B89" s="0" t="s">
        <v>1013</v>
      </c>
      <c r="C89" s="0" t="s">
        <v>1024</v>
      </c>
      <c r="D89" s="0" t="s">
        <v>956</v>
      </c>
      <c r="E89" s="0" t="s">
        <v>364</v>
      </c>
      <c r="F89" s="24" t="n">
        <v>0.375</v>
      </c>
      <c r="G89" s="0" t="s">
        <v>1031</v>
      </c>
      <c r="H89" s="0" t="n">
        <v>2</v>
      </c>
      <c r="I89" s="0" t="s">
        <v>17</v>
      </c>
      <c r="J89" s="0" t="s">
        <v>290</v>
      </c>
    </row>
    <row r="90" customFormat="false" ht="12.5" hidden="false" customHeight="false" outlineLevel="0" collapsed="false">
      <c r="A90" s="5" t="n">
        <v>46047</v>
      </c>
      <c r="B90" s="0" t="s">
        <v>1025</v>
      </c>
      <c r="C90" s="0" t="s">
        <v>1015</v>
      </c>
      <c r="D90" s="0" t="s">
        <v>956</v>
      </c>
      <c r="E90" s="0" t="s">
        <v>364</v>
      </c>
      <c r="F90" s="24" t="n">
        <v>0.46875</v>
      </c>
      <c r="G90" s="0" t="s">
        <v>1032</v>
      </c>
      <c r="H90" s="0" t="n">
        <v>2</v>
      </c>
      <c r="I90" s="0" t="s">
        <v>17</v>
      </c>
      <c r="J90" s="0" t="s">
        <v>290</v>
      </c>
    </row>
    <row r="91" customFormat="false" ht="12.5" hidden="false" customHeight="false" outlineLevel="0" collapsed="false">
      <c r="A91" s="5" t="n">
        <v>46047</v>
      </c>
      <c r="B91" s="0" t="s">
        <v>1019</v>
      </c>
      <c r="C91" s="0" t="s">
        <v>1027</v>
      </c>
      <c r="D91" s="0" t="s">
        <v>956</v>
      </c>
      <c r="E91" s="0" t="s">
        <v>364</v>
      </c>
      <c r="F91" s="24" t="n">
        <v>0.395833333333333</v>
      </c>
      <c r="G91" s="0" t="s">
        <v>1033</v>
      </c>
      <c r="H91" s="0" t="n">
        <v>2</v>
      </c>
      <c r="I91" s="0" t="s">
        <v>17</v>
      </c>
      <c r="J91" s="0" t="s">
        <v>290</v>
      </c>
    </row>
    <row r="92" customFormat="false" ht="12.5" hidden="false" customHeight="false" outlineLevel="0" collapsed="false">
      <c r="A92" s="5" t="n">
        <v>46047</v>
      </c>
      <c r="B92" s="0" t="s">
        <v>1016</v>
      </c>
      <c r="C92" s="0" t="s">
        <v>1018</v>
      </c>
      <c r="D92" s="0" t="s">
        <v>956</v>
      </c>
      <c r="E92" s="0" t="s">
        <v>364</v>
      </c>
      <c r="F92" s="24" t="n">
        <v>0.458333333333333</v>
      </c>
      <c r="G92" s="0" t="s">
        <v>1034</v>
      </c>
      <c r="H92" s="0" t="n">
        <v>2</v>
      </c>
      <c r="I92" s="0" t="s">
        <v>17</v>
      </c>
      <c r="J92" s="0" t="s">
        <v>290</v>
      </c>
    </row>
    <row r="93" customFormat="false" ht="12.5" hidden="false" customHeight="false" outlineLevel="0" collapsed="false">
      <c r="A93" s="5" t="n">
        <v>46047</v>
      </c>
      <c r="B93" s="0" t="s">
        <v>951</v>
      </c>
      <c r="C93" s="0" t="s">
        <v>1021</v>
      </c>
      <c r="D93" s="0" t="s">
        <v>956</v>
      </c>
      <c r="E93" s="0" t="s">
        <v>364</v>
      </c>
      <c r="F93" s="24" t="n">
        <v>0.458333333333333</v>
      </c>
      <c r="G93" s="0" t="s">
        <v>1035</v>
      </c>
      <c r="H93" s="0" t="n">
        <v>2</v>
      </c>
      <c r="I93" s="0" t="s">
        <v>17</v>
      </c>
      <c r="J93" s="0" t="s">
        <v>290</v>
      </c>
    </row>
    <row r="94" customFormat="false" ht="12.5" hidden="false" customHeight="false" outlineLevel="0" collapsed="false">
      <c r="A94" s="5" t="n">
        <v>46054</v>
      </c>
      <c r="B94" s="0" t="s">
        <v>1024</v>
      </c>
      <c r="C94" s="0" t="s">
        <v>1010</v>
      </c>
      <c r="D94" s="0" t="s">
        <v>956</v>
      </c>
      <c r="E94" s="0" t="s">
        <v>364</v>
      </c>
      <c r="F94" s="24" t="n">
        <v>0.416666666666667</v>
      </c>
      <c r="G94" s="0" t="s">
        <v>1026</v>
      </c>
      <c r="H94" s="0" t="n">
        <v>3</v>
      </c>
      <c r="I94" s="0" t="s">
        <v>17</v>
      </c>
      <c r="J94" s="0" t="s">
        <v>290</v>
      </c>
    </row>
    <row r="95" customFormat="false" ht="12.5" hidden="false" customHeight="false" outlineLevel="0" collapsed="false">
      <c r="A95" s="5" t="n">
        <v>46054</v>
      </c>
      <c r="B95" s="0" t="s">
        <v>1015</v>
      </c>
      <c r="C95" s="0" t="s">
        <v>1013</v>
      </c>
      <c r="D95" s="0" t="s">
        <v>956</v>
      </c>
      <c r="E95" s="0" t="s">
        <v>364</v>
      </c>
      <c r="F95" s="24" t="n">
        <v>0.458333333333333</v>
      </c>
      <c r="G95" s="0" t="s">
        <v>1017</v>
      </c>
      <c r="H95" s="0" t="n">
        <v>3</v>
      </c>
      <c r="I95" s="0" t="s">
        <v>17</v>
      </c>
      <c r="J95" s="0" t="s">
        <v>290</v>
      </c>
    </row>
    <row r="96" customFormat="false" ht="12.5" hidden="false" customHeight="false" outlineLevel="0" collapsed="false">
      <c r="A96" s="5" t="n">
        <v>46054</v>
      </c>
      <c r="B96" s="0" t="s">
        <v>1012</v>
      </c>
      <c r="C96" s="0" t="s">
        <v>1009</v>
      </c>
      <c r="D96" s="0" t="s">
        <v>956</v>
      </c>
      <c r="E96" s="0" t="s">
        <v>364</v>
      </c>
      <c r="F96" s="24" t="n">
        <v>0.375</v>
      </c>
      <c r="G96" s="0" t="s">
        <v>1014</v>
      </c>
      <c r="H96" s="0" t="n">
        <v>3</v>
      </c>
      <c r="I96" s="0" t="s">
        <v>17</v>
      </c>
      <c r="J96" s="0" t="s">
        <v>290</v>
      </c>
    </row>
    <row r="97" customFormat="false" ht="12.5" hidden="false" customHeight="false" outlineLevel="0" collapsed="false">
      <c r="A97" s="5" t="n">
        <v>46054</v>
      </c>
      <c r="B97" s="0" t="s">
        <v>1027</v>
      </c>
      <c r="C97" s="0" t="s">
        <v>1016</v>
      </c>
      <c r="D97" s="0" t="s">
        <v>956</v>
      </c>
      <c r="E97" s="0" t="s">
        <v>364</v>
      </c>
      <c r="F97" s="24" t="n">
        <v>0.75</v>
      </c>
      <c r="G97" s="0" t="s">
        <v>1028</v>
      </c>
      <c r="H97" s="0" t="n">
        <v>3</v>
      </c>
      <c r="I97" s="0" t="s">
        <v>17</v>
      </c>
      <c r="J97" s="0" t="s">
        <v>290</v>
      </c>
    </row>
    <row r="98" customFormat="false" ht="12.5" hidden="false" customHeight="false" outlineLevel="0" collapsed="false">
      <c r="A98" s="5" t="n">
        <v>46054</v>
      </c>
      <c r="B98" s="0" t="s">
        <v>1021</v>
      </c>
      <c r="C98" s="0" t="s">
        <v>1019</v>
      </c>
      <c r="D98" s="0" t="s">
        <v>956</v>
      </c>
      <c r="E98" s="0" t="s">
        <v>364</v>
      </c>
      <c r="F98" s="24" t="n">
        <v>0.635416666666667</v>
      </c>
      <c r="G98" s="0" t="s">
        <v>1023</v>
      </c>
      <c r="H98" s="0" t="n">
        <v>3</v>
      </c>
      <c r="I98" s="0" t="s">
        <v>17</v>
      </c>
      <c r="J98" s="0" t="s">
        <v>290</v>
      </c>
    </row>
    <row r="99" customFormat="false" ht="12.5" hidden="false" customHeight="false" outlineLevel="0" collapsed="false">
      <c r="A99" s="5" t="n">
        <v>46054</v>
      </c>
      <c r="B99" s="0" t="s">
        <v>1018</v>
      </c>
      <c r="C99" s="0" t="s">
        <v>1025</v>
      </c>
      <c r="D99" s="0" t="s">
        <v>956</v>
      </c>
      <c r="E99" s="0" t="s">
        <v>364</v>
      </c>
      <c r="F99" s="24" t="n">
        <v>0.645833333333333</v>
      </c>
      <c r="G99" s="0" t="s">
        <v>1020</v>
      </c>
      <c r="H99" s="0" t="n">
        <v>3</v>
      </c>
      <c r="I99" s="0" t="s">
        <v>17</v>
      </c>
      <c r="J99" s="0" t="s">
        <v>290</v>
      </c>
    </row>
    <row r="100" customFormat="false" ht="12.5" hidden="false" customHeight="false" outlineLevel="0" collapsed="false">
      <c r="A100" s="5" t="n">
        <v>46054</v>
      </c>
      <c r="B100" s="0" t="s">
        <v>1022</v>
      </c>
      <c r="C100" s="0" t="s">
        <v>951</v>
      </c>
      <c r="D100" s="0" t="s">
        <v>956</v>
      </c>
      <c r="E100" s="0" t="s">
        <v>364</v>
      </c>
      <c r="F100" s="24" t="n">
        <v>0.4375</v>
      </c>
      <c r="G100" s="0" t="s">
        <v>1029</v>
      </c>
      <c r="H100" s="0" t="n">
        <v>3</v>
      </c>
      <c r="I100" s="0" t="s">
        <v>17</v>
      </c>
      <c r="J100" s="0" t="s">
        <v>290</v>
      </c>
    </row>
    <row r="101" customFormat="false" ht="12.5" hidden="false" customHeight="false" outlineLevel="0" collapsed="false">
      <c r="A101" s="5" t="n">
        <v>46061</v>
      </c>
      <c r="B101" s="0" t="s">
        <v>1012</v>
      </c>
      <c r="C101" s="0" t="s">
        <v>1024</v>
      </c>
      <c r="D101" s="0" t="s">
        <v>956</v>
      </c>
      <c r="E101" s="0" t="s">
        <v>364</v>
      </c>
      <c r="F101" s="24" t="n">
        <v>0.375</v>
      </c>
      <c r="G101" s="0" t="s">
        <v>1014</v>
      </c>
      <c r="H101" s="0" t="n">
        <v>4</v>
      </c>
      <c r="I101" s="0" t="s">
        <v>17</v>
      </c>
      <c r="J101" s="0" t="s">
        <v>290</v>
      </c>
    </row>
    <row r="102" customFormat="false" ht="12.5" hidden="false" customHeight="false" outlineLevel="0" collapsed="false">
      <c r="A102" s="5" t="n">
        <v>46061</v>
      </c>
      <c r="B102" s="0" t="s">
        <v>1019</v>
      </c>
      <c r="C102" s="0" t="s">
        <v>1022</v>
      </c>
      <c r="D102" s="0" t="s">
        <v>956</v>
      </c>
      <c r="E102" s="0" t="s">
        <v>364</v>
      </c>
      <c r="F102" s="24" t="n">
        <v>0.395833333333333</v>
      </c>
      <c r="G102" s="0" t="s">
        <v>1033</v>
      </c>
      <c r="H102" s="0" t="n">
        <v>4</v>
      </c>
      <c r="I102" s="0" t="s">
        <v>17</v>
      </c>
      <c r="J102" s="0" t="s">
        <v>290</v>
      </c>
    </row>
    <row r="103" customFormat="false" ht="12.5" hidden="false" customHeight="false" outlineLevel="0" collapsed="false">
      <c r="A103" s="5" t="n">
        <v>46061</v>
      </c>
      <c r="B103" s="0" t="s">
        <v>1010</v>
      </c>
      <c r="C103" s="0" t="s">
        <v>1015</v>
      </c>
      <c r="D103" s="0" t="s">
        <v>956</v>
      </c>
      <c r="E103" s="0" t="s">
        <v>364</v>
      </c>
      <c r="F103" s="24" t="n">
        <v>0.697916666666667</v>
      </c>
      <c r="G103" s="0" t="s">
        <v>1030</v>
      </c>
      <c r="H103" s="0" t="n">
        <v>4</v>
      </c>
      <c r="I103" s="0" t="s">
        <v>17</v>
      </c>
      <c r="J103" s="0" t="s">
        <v>290</v>
      </c>
    </row>
    <row r="104" customFormat="false" ht="12.5" hidden="false" customHeight="false" outlineLevel="0" collapsed="false">
      <c r="A104" s="5" t="n">
        <v>46061</v>
      </c>
      <c r="B104" s="0" t="s">
        <v>1025</v>
      </c>
      <c r="C104" s="0" t="s">
        <v>1027</v>
      </c>
      <c r="D104" s="0" t="s">
        <v>956</v>
      </c>
      <c r="E104" s="0" t="s">
        <v>364</v>
      </c>
      <c r="F104" s="24" t="n">
        <v>0.46875</v>
      </c>
      <c r="G104" s="0" t="s">
        <v>1032</v>
      </c>
      <c r="H104" s="0" t="n">
        <v>4</v>
      </c>
      <c r="I104" s="0" t="s">
        <v>17</v>
      </c>
      <c r="J104" s="0" t="s">
        <v>290</v>
      </c>
    </row>
    <row r="105" customFormat="false" ht="12.5" hidden="false" customHeight="false" outlineLevel="0" collapsed="false">
      <c r="A105" s="5" t="n">
        <v>46061</v>
      </c>
      <c r="B105" s="0" t="s">
        <v>1009</v>
      </c>
      <c r="C105" s="0" t="s">
        <v>951</v>
      </c>
      <c r="D105" s="0" t="s">
        <v>956</v>
      </c>
      <c r="E105" s="0" t="s">
        <v>364</v>
      </c>
      <c r="F105" s="24" t="n">
        <v>0.46875</v>
      </c>
      <c r="G105" s="0" t="s">
        <v>1011</v>
      </c>
      <c r="H105" s="0" t="n">
        <v>4</v>
      </c>
      <c r="I105" s="0" t="s">
        <v>17</v>
      </c>
      <c r="J105" s="0" t="s">
        <v>290</v>
      </c>
    </row>
    <row r="106" customFormat="false" ht="12.5" hidden="false" customHeight="false" outlineLevel="0" collapsed="false">
      <c r="A106" s="5" t="n">
        <v>46061</v>
      </c>
      <c r="B106" s="0" t="s">
        <v>1013</v>
      </c>
      <c r="C106" s="0" t="s">
        <v>1018</v>
      </c>
      <c r="D106" s="0" t="s">
        <v>956</v>
      </c>
      <c r="E106" s="0" t="s">
        <v>364</v>
      </c>
      <c r="F106" s="24" t="n">
        <v>0.375</v>
      </c>
      <c r="G106" s="0" t="s">
        <v>1031</v>
      </c>
      <c r="H106" s="0" t="n">
        <v>4</v>
      </c>
      <c r="I106" s="0" t="s">
        <v>17</v>
      </c>
      <c r="J106" s="0" t="s">
        <v>290</v>
      </c>
    </row>
    <row r="107" customFormat="false" ht="12.5" hidden="false" customHeight="false" outlineLevel="0" collapsed="false">
      <c r="A107" s="5" t="n">
        <v>46061</v>
      </c>
      <c r="B107" s="0" t="s">
        <v>1016</v>
      </c>
      <c r="C107" s="0" t="s">
        <v>1021</v>
      </c>
      <c r="D107" s="0" t="s">
        <v>956</v>
      </c>
      <c r="E107" s="0" t="s">
        <v>364</v>
      </c>
      <c r="F107" s="24" t="n">
        <v>0.458333333333333</v>
      </c>
      <c r="G107" s="0" t="s">
        <v>1034</v>
      </c>
      <c r="H107" s="0" t="n">
        <v>4</v>
      </c>
      <c r="I107" s="0" t="s">
        <v>17</v>
      </c>
      <c r="J107" s="0" t="s">
        <v>290</v>
      </c>
    </row>
    <row r="108" customFormat="false" ht="12.5" hidden="false" customHeight="false" outlineLevel="0" collapsed="false">
      <c r="A108" s="5" t="n">
        <v>46068</v>
      </c>
      <c r="B108" s="0" t="s">
        <v>1018</v>
      </c>
      <c r="C108" s="0" t="s">
        <v>1010</v>
      </c>
      <c r="D108" s="0" t="s">
        <v>956</v>
      </c>
      <c r="E108" s="0" t="s">
        <v>364</v>
      </c>
      <c r="F108" s="24" t="n">
        <v>0.645833333333333</v>
      </c>
      <c r="G108" s="0" t="s">
        <v>1020</v>
      </c>
      <c r="H108" s="0" t="n">
        <v>5</v>
      </c>
      <c r="I108" s="0" t="s">
        <v>17</v>
      </c>
      <c r="J108" s="0" t="s">
        <v>290</v>
      </c>
    </row>
    <row r="109" customFormat="false" ht="12.5" hidden="false" customHeight="false" outlineLevel="0" collapsed="false">
      <c r="A109" s="5" t="n">
        <v>46068</v>
      </c>
      <c r="B109" s="0" t="s">
        <v>1027</v>
      </c>
      <c r="C109" s="0" t="s">
        <v>1013</v>
      </c>
      <c r="D109" s="0" t="s">
        <v>956</v>
      </c>
      <c r="E109" s="0" t="s">
        <v>364</v>
      </c>
      <c r="F109" s="24" t="n">
        <v>0.75</v>
      </c>
      <c r="G109" s="0" t="s">
        <v>1028</v>
      </c>
      <c r="H109" s="0" t="n">
        <v>5</v>
      </c>
      <c r="I109" s="0" t="s">
        <v>17</v>
      </c>
      <c r="J109" s="0" t="s">
        <v>290</v>
      </c>
    </row>
    <row r="110" customFormat="false" ht="12.5" hidden="false" customHeight="false" outlineLevel="0" collapsed="false">
      <c r="A110" s="5" t="n">
        <v>46068</v>
      </c>
      <c r="B110" s="0" t="s">
        <v>1024</v>
      </c>
      <c r="C110" s="0" t="s">
        <v>1009</v>
      </c>
      <c r="D110" s="0" t="s">
        <v>956</v>
      </c>
      <c r="E110" s="0" t="s">
        <v>364</v>
      </c>
      <c r="F110" s="24" t="n">
        <v>0.416666666666667</v>
      </c>
      <c r="G110" s="0" t="s">
        <v>1026</v>
      </c>
      <c r="H110" s="0" t="n">
        <v>5</v>
      </c>
      <c r="I110" s="0" t="s">
        <v>17</v>
      </c>
      <c r="J110" s="0" t="s">
        <v>290</v>
      </c>
    </row>
    <row r="111" customFormat="false" ht="12.5" hidden="false" customHeight="false" outlineLevel="0" collapsed="false">
      <c r="A111" s="5" t="n">
        <v>46068</v>
      </c>
      <c r="B111" s="0" t="s">
        <v>1015</v>
      </c>
      <c r="C111" s="0" t="s">
        <v>1012</v>
      </c>
      <c r="D111" s="0" t="s">
        <v>956</v>
      </c>
      <c r="E111" s="0" t="s">
        <v>364</v>
      </c>
      <c r="F111" s="24" t="n">
        <v>0.458333333333333</v>
      </c>
      <c r="G111" s="0" t="s">
        <v>1017</v>
      </c>
      <c r="H111" s="0" t="n">
        <v>5</v>
      </c>
      <c r="I111" s="0" t="s">
        <v>17</v>
      </c>
      <c r="J111" s="0" t="s">
        <v>290</v>
      </c>
    </row>
    <row r="112" customFormat="false" ht="12.5" hidden="false" customHeight="false" outlineLevel="0" collapsed="false">
      <c r="A112" s="5" t="n">
        <v>46068</v>
      </c>
      <c r="B112" s="0" t="s">
        <v>1022</v>
      </c>
      <c r="C112" s="0" t="s">
        <v>1016</v>
      </c>
      <c r="D112" s="0" t="s">
        <v>956</v>
      </c>
      <c r="E112" s="0" t="s">
        <v>364</v>
      </c>
      <c r="F112" s="24" t="n">
        <v>0.4375</v>
      </c>
      <c r="G112" s="0" t="s">
        <v>1029</v>
      </c>
      <c r="H112" s="0" t="n">
        <v>5</v>
      </c>
      <c r="I112" s="0" t="s">
        <v>17</v>
      </c>
      <c r="J112" s="0" t="s">
        <v>290</v>
      </c>
    </row>
    <row r="113" customFormat="false" ht="12.5" hidden="false" customHeight="false" outlineLevel="0" collapsed="false">
      <c r="A113" s="5" t="n">
        <v>46068</v>
      </c>
      <c r="B113" s="0" t="s">
        <v>951</v>
      </c>
      <c r="C113" s="0" t="s">
        <v>1019</v>
      </c>
      <c r="D113" s="0" t="s">
        <v>956</v>
      </c>
      <c r="E113" s="0" t="s">
        <v>364</v>
      </c>
      <c r="F113" s="24" t="n">
        <v>0.458333333333333</v>
      </c>
      <c r="G113" s="0" t="s">
        <v>1035</v>
      </c>
      <c r="H113" s="0" t="n">
        <v>5</v>
      </c>
      <c r="I113" s="0" t="s">
        <v>17</v>
      </c>
      <c r="J113" s="0" t="s">
        <v>290</v>
      </c>
    </row>
    <row r="114" customFormat="false" ht="12.5" hidden="false" customHeight="false" outlineLevel="0" collapsed="false">
      <c r="A114" s="5" t="n">
        <v>46068</v>
      </c>
      <c r="B114" s="0" t="s">
        <v>1021</v>
      </c>
      <c r="C114" s="0" t="s">
        <v>1025</v>
      </c>
      <c r="D114" s="0" t="s">
        <v>956</v>
      </c>
      <c r="E114" s="0" t="s">
        <v>364</v>
      </c>
      <c r="F114" s="24" t="n">
        <v>0.635416666666667</v>
      </c>
      <c r="G114" s="0" t="s">
        <v>1023</v>
      </c>
      <c r="H114" s="0" t="n">
        <v>5</v>
      </c>
      <c r="I114" s="0" t="s">
        <v>17</v>
      </c>
      <c r="J114" s="0" t="s">
        <v>290</v>
      </c>
    </row>
    <row r="115" customFormat="false" ht="12.5" hidden="false" customHeight="false" outlineLevel="0" collapsed="false">
      <c r="A115" s="5" t="n">
        <v>46075</v>
      </c>
      <c r="B115" s="0" t="s">
        <v>1009</v>
      </c>
      <c r="C115" s="0" t="s">
        <v>1019</v>
      </c>
      <c r="D115" s="0" t="s">
        <v>956</v>
      </c>
      <c r="E115" s="0" t="s">
        <v>364</v>
      </c>
      <c r="F115" s="24" t="n">
        <v>0.46875</v>
      </c>
      <c r="G115" s="0" t="s">
        <v>1011</v>
      </c>
      <c r="H115" s="0" t="n">
        <v>6</v>
      </c>
      <c r="I115" s="0" t="s">
        <v>17</v>
      </c>
      <c r="J115" s="0" t="s">
        <v>290</v>
      </c>
    </row>
    <row r="116" customFormat="false" ht="12.5" hidden="false" customHeight="false" outlineLevel="0" collapsed="false">
      <c r="A116" s="5" t="n">
        <v>46075</v>
      </c>
      <c r="B116" s="0" t="s">
        <v>1025</v>
      </c>
      <c r="C116" s="0" t="s">
        <v>1022</v>
      </c>
      <c r="D116" s="0" t="s">
        <v>956</v>
      </c>
      <c r="E116" s="0" t="s">
        <v>364</v>
      </c>
      <c r="F116" s="24" t="n">
        <v>0.46875</v>
      </c>
      <c r="G116" s="0" t="s">
        <v>1032</v>
      </c>
      <c r="H116" s="0" t="n">
        <v>6</v>
      </c>
      <c r="I116" s="0" t="s">
        <v>17</v>
      </c>
      <c r="J116" s="0" t="s">
        <v>290</v>
      </c>
    </row>
    <row r="117" customFormat="false" ht="12.5" hidden="false" customHeight="false" outlineLevel="0" collapsed="false">
      <c r="A117" s="5" t="n">
        <v>46075</v>
      </c>
      <c r="B117" s="0" t="s">
        <v>1024</v>
      </c>
      <c r="C117" s="0" t="s">
        <v>1015</v>
      </c>
      <c r="D117" s="0" t="s">
        <v>956</v>
      </c>
      <c r="E117" s="0" t="s">
        <v>364</v>
      </c>
      <c r="F117" s="24" t="n">
        <v>0.416666666666667</v>
      </c>
      <c r="G117" s="0" t="s">
        <v>1026</v>
      </c>
      <c r="H117" s="0" t="n">
        <v>6</v>
      </c>
      <c r="I117" s="0" t="s">
        <v>17</v>
      </c>
      <c r="J117" s="0" t="s">
        <v>290</v>
      </c>
    </row>
    <row r="118" customFormat="false" ht="12.5" hidden="false" customHeight="false" outlineLevel="0" collapsed="false">
      <c r="A118" s="5" t="n">
        <v>46075</v>
      </c>
      <c r="B118" s="0" t="s">
        <v>1010</v>
      </c>
      <c r="C118" s="0" t="s">
        <v>1027</v>
      </c>
      <c r="D118" s="0" t="s">
        <v>956</v>
      </c>
      <c r="E118" s="0" t="s">
        <v>364</v>
      </c>
      <c r="F118" s="24" t="n">
        <v>0.697916666666667</v>
      </c>
      <c r="G118" s="0" t="s">
        <v>1030</v>
      </c>
      <c r="H118" s="0" t="n">
        <v>6</v>
      </c>
      <c r="I118" s="0" t="s">
        <v>17</v>
      </c>
      <c r="J118" s="0" t="s">
        <v>290</v>
      </c>
    </row>
    <row r="119" customFormat="false" ht="12.5" hidden="false" customHeight="false" outlineLevel="0" collapsed="false">
      <c r="A119" s="5" t="n">
        <v>46075</v>
      </c>
      <c r="B119" s="0" t="s">
        <v>1016</v>
      </c>
      <c r="C119" s="0" t="s">
        <v>951</v>
      </c>
      <c r="D119" s="0" t="s">
        <v>956</v>
      </c>
      <c r="E119" s="0" t="s">
        <v>364</v>
      </c>
      <c r="F119" s="24" t="n">
        <v>0.458333333333333</v>
      </c>
      <c r="G119" s="0" t="s">
        <v>1034</v>
      </c>
      <c r="H119" s="0" t="n">
        <v>6</v>
      </c>
      <c r="I119" s="0" t="s">
        <v>17</v>
      </c>
      <c r="J119" s="0" t="s">
        <v>290</v>
      </c>
    </row>
    <row r="120" customFormat="false" ht="12.5" hidden="false" customHeight="false" outlineLevel="0" collapsed="false">
      <c r="A120" s="5" t="n">
        <v>46075</v>
      </c>
      <c r="B120" s="0" t="s">
        <v>1012</v>
      </c>
      <c r="C120" s="0" t="s">
        <v>1018</v>
      </c>
      <c r="D120" s="0" t="s">
        <v>956</v>
      </c>
      <c r="E120" s="0" t="s">
        <v>364</v>
      </c>
      <c r="F120" s="24" t="n">
        <v>0.375</v>
      </c>
      <c r="G120" s="0" t="s">
        <v>1014</v>
      </c>
      <c r="H120" s="0" t="n">
        <v>6</v>
      </c>
      <c r="I120" s="0" t="s">
        <v>17</v>
      </c>
      <c r="J120" s="0" t="s">
        <v>290</v>
      </c>
    </row>
    <row r="121" customFormat="false" ht="12.5" hidden="false" customHeight="false" outlineLevel="0" collapsed="false">
      <c r="A121" s="5" t="n">
        <v>46075</v>
      </c>
      <c r="B121" s="0" t="s">
        <v>1013</v>
      </c>
      <c r="C121" s="0" t="s">
        <v>1021</v>
      </c>
      <c r="D121" s="0" t="s">
        <v>956</v>
      </c>
      <c r="E121" s="0" t="s">
        <v>364</v>
      </c>
      <c r="F121" s="24" t="n">
        <v>0.375</v>
      </c>
      <c r="G121" s="0" t="s">
        <v>1031</v>
      </c>
      <c r="H121" s="0" t="n">
        <v>6</v>
      </c>
      <c r="I121" s="0" t="s">
        <v>17</v>
      </c>
      <c r="J121" s="0" t="s">
        <v>290</v>
      </c>
    </row>
    <row r="122" customFormat="false" ht="12.5" hidden="false" customHeight="false" outlineLevel="0" collapsed="false">
      <c r="A122" s="5" t="n">
        <v>46082</v>
      </c>
      <c r="B122" s="0" t="s">
        <v>1021</v>
      </c>
      <c r="C122" s="0" t="s">
        <v>1010</v>
      </c>
      <c r="D122" s="0" t="s">
        <v>956</v>
      </c>
      <c r="E122" s="0" t="s">
        <v>364</v>
      </c>
      <c r="F122" s="24" t="n">
        <v>0.635416666666667</v>
      </c>
      <c r="G122" s="0" t="s">
        <v>1023</v>
      </c>
      <c r="H122" s="0" t="n">
        <v>7</v>
      </c>
      <c r="I122" s="0" t="s">
        <v>17</v>
      </c>
      <c r="J122" s="0" t="s">
        <v>290</v>
      </c>
    </row>
    <row r="123" customFormat="false" ht="12.5" hidden="false" customHeight="false" outlineLevel="0" collapsed="false">
      <c r="A123" s="5" t="n">
        <v>46082</v>
      </c>
      <c r="B123" s="0" t="s">
        <v>1022</v>
      </c>
      <c r="C123" s="0" t="s">
        <v>1013</v>
      </c>
      <c r="D123" s="0" t="s">
        <v>956</v>
      </c>
      <c r="E123" s="0" t="s">
        <v>364</v>
      </c>
      <c r="F123" s="24" t="n">
        <v>0.4375</v>
      </c>
      <c r="G123" s="0" t="s">
        <v>1029</v>
      </c>
      <c r="H123" s="0" t="n">
        <v>7</v>
      </c>
      <c r="I123" s="0" t="s">
        <v>17</v>
      </c>
      <c r="J123" s="0" t="s">
        <v>290</v>
      </c>
    </row>
    <row r="124" customFormat="false" ht="12.5" hidden="false" customHeight="false" outlineLevel="0" collapsed="false">
      <c r="A124" s="5" t="n">
        <v>46082</v>
      </c>
      <c r="B124" s="0" t="s">
        <v>1015</v>
      </c>
      <c r="C124" s="0" t="s">
        <v>1009</v>
      </c>
      <c r="D124" s="0" t="s">
        <v>956</v>
      </c>
      <c r="E124" s="0" t="s">
        <v>364</v>
      </c>
      <c r="F124" s="24" t="n">
        <v>0.458333333333333</v>
      </c>
      <c r="G124" s="0" t="s">
        <v>1017</v>
      </c>
      <c r="H124" s="0" t="n">
        <v>7</v>
      </c>
      <c r="I124" s="0" t="s">
        <v>17</v>
      </c>
      <c r="J124" s="0" t="s">
        <v>290</v>
      </c>
    </row>
    <row r="125" customFormat="false" ht="12.5" hidden="false" customHeight="false" outlineLevel="0" collapsed="false">
      <c r="A125" s="5" t="n">
        <v>46082</v>
      </c>
      <c r="B125" s="0" t="s">
        <v>1027</v>
      </c>
      <c r="C125" s="0" t="s">
        <v>1012</v>
      </c>
      <c r="D125" s="0" t="s">
        <v>956</v>
      </c>
      <c r="E125" s="0" t="s">
        <v>364</v>
      </c>
      <c r="F125" s="24" t="n">
        <v>0.75</v>
      </c>
      <c r="G125" s="0" t="s">
        <v>1028</v>
      </c>
      <c r="H125" s="0" t="n">
        <v>7</v>
      </c>
      <c r="I125" s="0" t="s">
        <v>17</v>
      </c>
      <c r="J125" s="0" t="s">
        <v>290</v>
      </c>
    </row>
    <row r="126" customFormat="false" ht="12.5" hidden="false" customHeight="false" outlineLevel="0" collapsed="false">
      <c r="A126" s="5" t="n">
        <v>46082</v>
      </c>
      <c r="B126" s="0" t="s">
        <v>1019</v>
      </c>
      <c r="C126" s="0" t="s">
        <v>1016</v>
      </c>
      <c r="D126" s="0" t="s">
        <v>956</v>
      </c>
      <c r="E126" s="0" t="s">
        <v>364</v>
      </c>
      <c r="F126" s="24" t="n">
        <v>0.395833333333333</v>
      </c>
      <c r="G126" s="0" t="s">
        <v>1033</v>
      </c>
      <c r="H126" s="0" t="n">
        <v>7</v>
      </c>
      <c r="I126" s="0" t="s">
        <v>17</v>
      </c>
      <c r="J126" s="0" t="s">
        <v>290</v>
      </c>
    </row>
    <row r="127" customFormat="false" ht="12.5" hidden="false" customHeight="false" outlineLevel="0" collapsed="false">
      <c r="A127" s="5" t="n">
        <v>46082</v>
      </c>
      <c r="B127" s="0" t="s">
        <v>1018</v>
      </c>
      <c r="C127" s="0" t="s">
        <v>1024</v>
      </c>
      <c r="D127" s="0" t="s">
        <v>956</v>
      </c>
      <c r="E127" s="0" t="s">
        <v>364</v>
      </c>
      <c r="F127" s="24" t="n">
        <v>0.645833333333333</v>
      </c>
      <c r="G127" s="0" t="s">
        <v>1020</v>
      </c>
      <c r="H127" s="0" t="n">
        <v>7</v>
      </c>
      <c r="I127" s="0" t="s">
        <v>17</v>
      </c>
      <c r="J127" s="0" t="s">
        <v>290</v>
      </c>
    </row>
    <row r="128" customFormat="false" ht="12.5" hidden="false" customHeight="false" outlineLevel="0" collapsed="false">
      <c r="A128" s="5" t="n">
        <v>46082</v>
      </c>
      <c r="B128" s="0" t="s">
        <v>951</v>
      </c>
      <c r="C128" s="0" t="s">
        <v>1025</v>
      </c>
      <c r="D128" s="0" t="s">
        <v>956</v>
      </c>
      <c r="E128" s="0" t="s">
        <v>364</v>
      </c>
      <c r="F128" s="24" t="n">
        <v>0.458333333333333</v>
      </c>
      <c r="G128" s="0" t="s">
        <v>1035</v>
      </c>
      <c r="H128" s="0" t="n">
        <v>7</v>
      </c>
      <c r="I128" s="0" t="s">
        <v>17</v>
      </c>
      <c r="J128" s="0" t="s">
        <v>290</v>
      </c>
    </row>
    <row r="129" customFormat="false" ht="12.5" hidden="false" customHeight="false" outlineLevel="0" collapsed="false">
      <c r="A129" s="5" t="n">
        <v>46089</v>
      </c>
      <c r="B129" s="0" t="s">
        <v>1009</v>
      </c>
      <c r="C129" s="0" t="s">
        <v>1016</v>
      </c>
      <c r="D129" s="0" t="s">
        <v>956</v>
      </c>
      <c r="E129" s="0" t="s">
        <v>364</v>
      </c>
      <c r="F129" s="24" t="n">
        <v>0.46875</v>
      </c>
      <c r="G129" s="0" t="s">
        <v>1011</v>
      </c>
      <c r="H129" s="0" t="n">
        <v>8</v>
      </c>
      <c r="I129" s="0" t="s">
        <v>17</v>
      </c>
      <c r="J129" s="0" t="s">
        <v>290</v>
      </c>
    </row>
    <row r="130" customFormat="false" ht="12.5" hidden="false" customHeight="false" outlineLevel="0" collapsed="false">
      <c r="A130" s="5" t="n">
        <v>46089</v>
      </c>
      <c r="B130" s="0" t="s">
        <v>1025</v>
      </c>
      <c r="C130" s="0" t="s">
        <v>1019</v>
      </c>
      <c r="D130" s="0" t="s">
        <v>956</v>
      </c>
      <c r="E130" s="0" t="s">
        <v>364</v>
      </c>
      <c r="F130" s="24" t="n">
        <v>0.46875</v>
      </c>
      <c r="G130" s="0" t="s">
        <v>1032</v>
      </c>
      <c r="H130" s="0" t="n">
        <v>8</v>
      </c>
      <c r="I130" s="0" t="s">
        <v>17</v>
      </c>
      <c r="J130" s="0" t="s">
        <v>290</v>
      </c>
    </row>
    <row r="131" customFormat="false" ht="12.5" hidden="false" customHeight="false" outlineLevel="0" collapsed="false">
      <c r="A131" s="5" t="n">
        <v>46089</v>
      </c>
      <c r="B131" s="0" t="s">
        <v>1010</v>
      </c>
      <c r="C131" s="0" t="s">
        <v>1022</v>
      </c>
      <c r="D131" s="0" t="s">
        <v>956</v>
      </c>
      <c r="E131" s="0" t="s">
        <v>364</v>
      </c>
      <c r="F131" s="24" t="n">
        <v>0.697916666666667</v>
      </c>
      <c r="G131" s="0" t="s">
        <v>1030</v>
      </c>
      <c r="H131" s="0" t="n">
        <v>8</v>
      </c>
      <c r="I131" s="0" t="s">
        <v>17</v>
      </c>
      <c r="J131" s="0" t="s">
        <v>290</v>
      </c>
    </row>
    <row r="132" customFormat="false" ht="12.5" hidden="false" customHeight="false" outlineLevel="0" collapsed="false">
      <c r="A132" s="5" t="n">
        <v>46089</v>
      </c>
      <c r="B132" s="0" t="s">
        <v>1024</v>
      </c>
      <c r="C132" s="0" t="s">
        <v>1027</v>
      </c>
      <c r="D132" s="0" t="s">
        <v>956</v>
      </c>
      <c r="E132" s="0" t="s">
        <v>364</v>
      </c>
      <c r="F132" s="24" t="n">
        <v>0.416666666666667</v>
      </c>
      <c r="G132" s="0" t="s">
        <v>1026</v>
      </c>
      <c r="H132" s="0" t="n">
        <v>8</v>
      </c>
      <c r="I132" s="0" t="s">
        <v>17</v>
      </c>
      <c r="J132" s="0" t="s">
        <v>290</v>
      </c>
    </row>
    <row r="133" customFormat="false" ht="12.5" hidden="false" customHeight="false" outlineLevel="0" collapsed="false">
      <c r="A133" s="5" t="n">
        <v>46089</v>
      </c>
      <c r="B133" s="0" t="s">
        <v>1013</v>
      </c>
      <c r="C133" s="0" t="s">
        <v>951</v>
      </c>
      <c r="D133" s="0" t="s">
        <v>956</v>
      </c>
      <c r="E133" s="0" t="s">
        <v>364</v>
      </c>
      <c r="F133" s="24" t="n">
        <v>0.375</v>
      </c>
      <c r="G133" s="0" t="s">
        <v>1031</v>
      </c>
      <c r="H133" s="0" t="n">
        <v>8</v>
      </c>
      <c r="I133" s="0" t="s">
        <v>17</v>
      </c>
      <c r="J133" s="0" t="s">
        <v>290</v>
      </c>
    </row>
    <row r="134" customFormat="false" ht="12.5" hidden="false" customHeight="false" outlineLevel="0" collapsed="false">
      <c r="A134" s="5" t="n">
        <v>46089</v>
      </c>
      <c r="B134" s="0" t="s">
        <v>1015</v>
      </c>
      <c r="C134" s="0" t="s">
        <v>1018</v>
      </c>
      <c r="D134" s="0" t="s">
        <v>956</v>
      </c>
      <c r="E134" s="0" t="s">
        <v>364</v>
      </c>
      <c r="F134" s="24" t="n">
        <v>0.458333333333333</v>
      </c>
      <c r="G134" s="0" t="s">
        <v>1017</v>
      </c>
      <c r="H134" s="0" t="n">
        <v>8</v>
      </c>
      <c r="I134" s="0" t="s">
        <v>17</v>
      </c>
      <c r="J134" s="0" t="s">
        <v>290</v>
      </c>
    </row>
    <row r="135" customFormat="false" ht="12.5" hidden="false" customHeight="false" outlineLevel="0" collapsed="false">
      <c r="A135" s="5" t="n">
        <v>46089</v>
      </c>
      <c r="B135" s="0" t="s">
        <v>1012</v>
      </c>
      <c r="C135" s="0" t="s">
        <v>1021</v>
      </c>
      <c r="D135" s="0" t="s">
        <v>956</v>
      </c>
      <c r="E135" s="0" t="s">
        <v>364</v>
      </c>
      <c r="F135" s="24" t="n">
        <v>0.375</v>
      </c>
      <c r="G135" s="0" t="s">
        <v>1014</v>
      </c>
      <c r="H135" s="0" t="n">
        <v>8</v>
      </c>
      <c r="I135" s="0" t="s">
        <v>17</v>
      </c>
      <c r="J135" s="0" t="s">
        <v>290</v>
      </c>
    </row>
    <row r="136" customFormat="false" ht="12.5" hidden="false" customHeight="false" outlineLevel="0" collapsed="false">
      <c r="A136" s="5" t="n">
        <v>46096</v>
      </c>
      <c r="B136" s="0" t="s">
        <v>951</v>
      </c>
      <c r="C136" s="0" t="s">
        <v>1010</v>
      </c>
      <c r="D136" s="0" t="s">
        <v>956</v>
      </c>
      <c r="E136" s="0" t="s">
        <v>364</v>
      </c>
      <c r="F136" s="24" t="n">
        <v>0.458333333333333</v>
      </c>
      <c r="G136" s="0" t="s">
        <v>1035</v>
      </c>
      <c r="H136" s="0" t="n">
        <v>9</v>
      </c>
      <c r="I136" s="0" t="s">
        <v>17</v>
      </c>
      <c r="J136" s="0" t="s">
        <v>290</v>
      </c>
    </row>
    <row r="137" customFormat="false" ht="12.5" hidden="false" customHeight="false" outlineLevel="0" collapsed="false">
      <c r="A137" s="5" t="n">
        <v>46096</v>
      </c>
      <c r="B137" s="0" t="s">
        <v>1019</v>
      </c>
      <c r="C137" s="0" t="s">
        <v>1013</v>
      </c>
      <c r="D137" s="0" t="s">
        <v>956</v>
      </c>
      <c r="E137" s="0" t="s">
        <v>364</v>
      </c>
      <c r="F137" s="24" t="n">
        <v>0.395833333333333</v>
      </c>
      <c r="G137" s="0" t="s">
        <v>1033</v>
      </c>
      <c r="H137" s="0" t="n">
        <v>9</v>
      </c>
      <c r="I137" s="0" t="s">
        <v>17</v>
      </c>
      <c r="J137" s="0" t="s">
        <v>290</v>
      </c>
    </row>
    <row r="138" customFormat="false" ht="12.5" hidden="false" customHeight="false" outlineLevel="0" collapsed="false">
      <c r="A138" s="5" t="n">
        <v>46096</v>
      </c>
      <c r="B138" s="0" t="s">
        <v>1018</v>
      </c>
      <c r="C138" s="0" t="s">
        <v>1009</v>
      </c>
      <c r="D138" s="0" t="s">
        <v>956</v>
      </c>
      <c r="E138" s="0" t="s">
        <v>364</v>
      </c>
      <c r="F138" s="24" t="n">
        <v>0.645833333333333</v>
      </c>
      <c r="G138" s="0" t="s">
        <v>1020</v>
      </c>
      <c r="H138" s="0" t="n">
        <v>9</v>
      </c>
      <c r="I138" s="0" t="s">
        <v>17</v>
      </c>
      <c r="J138" s="0" t="s">
        <v>290</v>
      </c>
    </row>
    <row r="139" customFormat="false" ht="12.5" hidden="false" customHeight="false" outlineLevel="0" collapsed="false">
      <c r="A139" s="5" t="n">
        <v>46096</v>
      </c>
      <c r="B139" s="0" t="s">
        <v>1022</v>
      </c>
      <c r="C139" s="0" t="s">
        <v>1012</v>
      </c>
      <c r="D139" s="0" t="s">
        <v>956</v>
      </c>
      <c r="E139" s="0" t="s">
        <v>364</v>
      </c>
      <c r="F139" s="24" t="n">
        <v>0.4375</v>
      </c>
      <c r="G139" s="0" t="s">
        <v>1029</v>
      </c>
      <c r="H139" s="0" t="n">
        <v>9</v>
      </c>
      <c r="I139" s="0" t="s">
        <v>17</v>
      </c>
      <c r="J139" s="0" t="s">
        <v>290</v>
      </c>
    </row>
    <row r="140" customFormat="false" ht="12.5" hidden="false" customHeight="false" outlineLevel="0" collapsed="false">
      <c r="A140" s="5" t="n">
        <v>46096</v>
      </c>
      <c r="B140" s="0" t="s">
        <v>1021</v>
      </c>
      <c r="C140" s="0" t="s">
        <v>1024</v>
      </c>
      <c r="D140" s="0" t="s">
        <v>956</v>
      </c>
      <c r="E140" s="0" t="s">
        <v>364</v>
      </c>
      <c r="F140" s="24" t="n">
        <v>0.635416666666667</v>
      </c>
      <c r="G140" s="0" t="s">
        <v>1023</v>
      </c>
      <c r="H140" s="0" t="n">
        <v>9</v>
      </c>
      <c r="I140" s="0" t="s">
        <v>17</v>
      </c>
      <c r="J140" s="0" t="s">
        <v>290</v>
      </c>
    </row>
    <row r="141" customFormat="false" ht="12.5" hidden="false" customHeight="false" outlineLevel="0" collapsed="false">
      <c r="A141" s="5" t="n">
        <v>46096</v>
      </c>
      <c r="B141" s="0" t="s">
        <v>1027</v>
      </c>
      <c r="C141" s="0" t="s">
        <v>1015</v>
      </c>
      <c r="D141" s="0" t="s">
        <v>956</v>
      </c>
      <c r="E141" s="0" t="s">
        <v>364</v>
      </c>
      <c r="F141" s="24" t="n">
        <v>0.75</v>
      </c>
      <c r="G141" s="0" t="s">
        <v>1028</v>
      </c>
      <c r="H141" s="0" t="n">
        <v>9</v>
      </c>
      <c r="I141" s="0" t="s">
        <v>17</v>
      </c>
      <c r="J141" s="0" t="s">
        <v>290</v>
      </c>
    </row>
    <row r="142" customFormat="false" ht="12.5" hidden="false" customHeight="false" outlineLevel="0" collapsed="false">
      <c r="A142" s="5" t="n">
        <v>46096</v>
      </c>
      <c r="B142" s="0" t="s">
        <v>1016</v>
      </c>
      <c r="C142" s="0" t="s">
        <v>1025</v>
      </c>
      <c r="D142" s="0" t="s">
        <v>956</v>
      </c>
      <c r="E142" s="0" t="s">
        <v>364</v>
      </c>
      <c r="F142" s="24" t="n">
        <v>0.458333333333333</v>
      </c>
      <c r="G142" s="0" t="s">
        <v>1034</v>
      </c>
      <c r="H142" s="0" t="n">
        <v>9</v>
      </c>
      <c r="I142" s="0" t="s">
        <v>17</v>
      </c>
      <c r="J142" s="0" t="s">
        <v>290</v>
      </c>
    </row>
    <row r="143" customFormat="false" ht="12.5" hidden="false" customHeight="false" outlineLevel="0" collapsed="false">
      <c r="A143" s="5" t="n">
        <v>46103</v>
      </c>
      <c r="B143" s="0" t="s">
        <v>1013</v>
      </c>
      <c r="C143" s="0" t="s">
        <v>1016</v>
      </c>
      <c r="D143" s="0" t="s">
        <v>956</v>
      </c>
      <c r="E143" s="0" t="s">
        <v>364</v>
      </c>
      <c r="F143" s="24" t="n">
        <v>0.375</v>
      </c>
      <c r="G143" s="0" t="s">
        <v>1031</v>
      </c>
      <c r="H143" s="0" t="n">
        <v>10</v>
      </c>
      <c r="I143" s="0" t="s">
        <v>17</v>
      </c>
      <c r="J143" s="0" t="s">
        <v>290</v>
      </c>
    </row>
    <row r="144" customFormat="false" ht="12.5" hidden="false" customHeight="false" outlineLevel="0" collapsed="false">
      <c r="A144" s="5" t="n">
        <v>46103</v>
      </c>
      <c r="B144" s="0" t="s">
        <v>1010</v>
      </c>
      <c r="C144" s="0" t="s">
        <v>1019</v>
      </c>
      <c r="D144" s="0" t="s">
        <v>956</v>
      </c>
      <c r="E144" s="0" t="s">
        <v>364</v>
      </c>
      <c r="F144" s="24" t="n">
        <v>0.697916666666667</v>
      </c>
      <c r="G144" s="0" t="s">
        <v>1030</v>
      </c>
      <c r="H144" s="0" t="n">
        <v>10</v>
      </c>
      <c r="I144" s="0" t="s">
        <v>17</v>
      </c>
      <c r="J144" s="0" t="s">
        <v>290</v>
      </c>
    </row>
    <row r="145" customFormat="false" ht="12.5" hidden="false" customHeight="false" outlineLevel="0" collapsed="false">
      <c r="A145" s="5" t="n">
        <v>46103</v>
      </c>
      <c r="B145" s="0" t="s">
        <v>1024</v>
      </c>
      <c r="C145" s="0" t="s">
        <v>1022</v>
      </c>
      <c r="D145" s="0" t="s">
        <v>956</v>
      </c>
      <c r="E145" s="0" t="s">
        <v>364</v>
      </c>
      <c r="F145" s="24" t="n">
        <v>0.416666666666667</v>
      </c>
      <c r="G145" s="0" t="s">
        <v>1026</v>
      </c>
      <c r="H145" s="0" t="n">
        <v>10</v>
      </c>
      <c r="I145" s="0" t="s">
        <v>17</v>
      </c>
      <c r="J145" s="0" t="s">
        <v>290</v>
      </c>
    </row>
    <row r="146" customFormat="false" ht="12.5" hidden="false" customHeight="false" outlineLevel="0" collapsed="false">
      <c r="A146" s="5" t="n">
        <v>46103</v>
      </c>
      <c r="B146" s="0" t="s">
        <v>1009</v>
      </c>
      <c r="C146" s="0" t="s">
        <v>1025</v>
      </c>
      <c r="D146" s="0" t="s">
        <v>956</v>
      </c>
      <c r="E146" s="0" t="s">
        <v>364</v>
      </c>
      <c r="F146" s="24" t="n">
        <v>0.46875</v>
      </c>
      <c r="G146" s="0" t="s">
        <v>1011</v>
      </c>
      <c r="H146" s="0" t="n">
        <v>10</v>
      </c>
      <c r="I146" s="0" t="s">
        <v>17</v>
      </c>
      <c r="J146" s="0" t="s">
        <v>290</v>
      </c>
    </row>
    <row r="147" customFormat="false" ht="12.5" hidden="false" customHeight="false" outlineLevel="0" collapsed="false">
      <c r="A147" s="5" t="n">
        <v>46103</v>
      </c>
      <c r="B147" s="0" t="s">
        <v>1018</v>
      </c>
      <c r="C147" s="0" t="s">
        <v>1027</v>
      </c>
      <c r="D147" s="0" t="s">
        <v>956</v>
      </c>
      <c r="E147" s="0" t="s">
        <v>364</v>
      </c>
      <c r="F147" s="24" t="n">
        <v>0.645833333333333</v>
      </c>
      <c r="G147" s="0" t="s">
        <v>1020</v>
      </c>
      <c r="H147" s="0" t="n">
        <v>10</v>
      </c>
      <c r="I147" s="0" t="s">
        <v>17</v>
      </c>
      <c r="J147" s="0" t="s">
        <v>290</v>
      </c>
    </row>
    <row r="148" customFormat="false" ht="12.5" hidden="false" customHeight="false" outlineLevel="0" collapsed="false">
      <c r="A148" s="5" t="n">
        <v>46103</v>
      </c>
      <c r="B148" s="0" t="s">
        <v>1012</v>
      </c>
      <c r="C148" s="0" t="s">
        <v>951</v>
      </c>
      <c r="D148" s="0" t="s">
        <v>956</v>
      </c>
      <c r="E148" s="0" t="s">
        <v>364</v>
      </c>
      <c r="F148" s="24" t="n">
        <v>0.375</v>
      </c>
      <c r="G148" s="0" t="s">
        <v>1014</v>
      </c>
      <c r="H148" s="0" t="n">
        <v>10</v>
      </c>
      <c r="I148" s="0" t="s">
        <v>17</v>
      </c>
      <c r="J148" s="0" t="s">
        <v>290</v>
      </c>
    </row>
    <row r="149" customFormat="false" ht="12.5" hidden="false" customHeight="false" outlineLevel="0" collapsed="false">
      <c r="A149" s="5" t="n">
        <v>46103</v>
      </c>
      <c r="B149" s="0" t="s">
        <v>1015</v>
      </c>
      <c r="C149" s="0" t="s">
        <v>1021</v>
      </c>
      <c r="D149" s="0" t="s">
        <v>956</v>
      </c>
      <c r="E149" s="0" t="s">
        <v>364</v>
      </c>
      <c r="F149" s="24" t="n">
        <v>0.458333333333333</v>
      </c>
      <c r="G149" s="0" t="s">
        <v>1017</v>
      </c>
      <c r="H149" s="0" t="n">
        <v>10</v>
      </c>
      <c r="I149" s="0" t="s">
        <v>17</v>
      </c>
      <c r="J149" s="0" t="s">
        <v>290</v>
      </c>
    </row>
    <row r="150" customFormat="false" ht="12.5" hidden="false" customHeight="false" outlineLevel="0" collapsed="false">
      <c r="A150" s="5" t="n">
        <v>46110</v>
      </c>
      <c r="B150" s="0" t="s">
        <v>1016</v>
      </c>
      <c r="C150" s="0" t="s">
        <v>1010</v>
      </c>
      <c r="D150" s="0" t="s">
        <v>956</v>
      </c>
      <c r="E150" s="0" t="s">
        <v>364</v>
      </c>
      <c r="F150" s="24" t="n">
        <v>0.458333333333333</v>
      </c>
      <c r="G150" s="0" t="s">
        <v>1034</v>
      </c>
      <c r="H150" s="0" t="n">
        <v>11</v>
      </c>
      <c r="I150" s="0" t="s">
        <v>17</v>
      </c>
      <c r="J150" s="0" t="s">
        <v>290</v>
      </c>
    </row>
    <row r="151" customFormat="false" ht="12.5" hidden="false" customHeight="false" outlineLevel="0" collapsed="false">
      <c r="A151" s="5" t="n">
        <v>46110</v>
      </c>
      <c r="B151" s="0" t="s">
        <v>1025</v>
      </c>
      <c r="C151" s="0" t="s">
        <v>1013</v>
      </c>
      <c r="D151" s="0" t="s">
        <v>956</v>
      </c>
      <c r="E151" s="0" t="s">
        <v>364</v>
      </c>
      <c r="F151" s="24" t="n">
        <v>0.46875</v>
      </c>
      <c r="G151" s="0" t="s">
        <v>1032</v>
      </c>
      <c r="H151" s="0" t="n">
        <v>11</v>
      </c>
      <c r="I151" s="0" t="s">
        <v>17</v>
      </c>
      <c r="J151" s="0" t="s">
        <v>290</v>
      </c>
    </row>
    <row r="152" customFormat="false" ht="12.5" hidden="false" customHeight="false" outlineLevel="0" collapsed="false">
      <c r="A152" s="5" t="n">
        <v>46110</v>
      </c>
      <c r="B152" s="0" t="s">
        <v>1027</v>
      </c>
      <c r="C152" s="0" t="s">
        <v>1009</v>
      </c>
      <c r="D152" s="0" t="s">
        <v>956</v>
      </c>
      <c r="E152" s="0" t="s">
        <v>364</v>
      </c>
      <c r="F152" s="24" t="n">
        <v>0.75</v>
      </c>
      <c r="G152" s="0" t="s">
        <v>1028</v>
      </c>
      <c r="H152" s="0" t="n">
        <v>11</v>
      </c>
      <c r="I152" s="0" t="s">
        <v>17</v>
      </c>
      <c r="J152" s="0" t="s">
        <v>290</v>
      </c>
    </row>
    <row r="153" customFormat="false" ht="12.5" hidden="false" customHeight="false" outlineLevel="0" collapsed="false">
      <c r="A153" s="5" t="n">
        <v>46110</v>
      </c>
      <c r="B153" s="0" t="s">
        <v>1019</v>
      </c>
      <c r="C153" s="0" t="s">
        <v>1012</v>
      </c>
      <c r="D153" s="0" t="s">
        <v>956</v>
      </c>
      <c r="E153" s="0" t="s">
        <v>364</v>
      </c>
      <c r="F153" s="24" t="n">
        <v>0.395833333333333</v>
      </c>
      <c r="G153" s="0" t="s">
        <v>1033</v>
      </c>
      <c r="H153" s="0" t="n">
        <v>11</v>
      </c>
      <c r="I153" s="0" t="s">
        <v>17</v>
      </c>
      <c r="J153" s="0" t="s">
        <v>290</v>
      </c>
    </row>
    <row r="154" customFormat="false" ht="12.5" hidden="false" customHeight="false" outlineLevel="0" collapsed="false">
      <c r="A154" s="5" t="n">
        <v>46110</v>
      </c>
      <c r="B154" s="0" t="s">
        <v>951</v>
      </c>
      <c r="C154" s="0" t="s">
        <v>1024</v>
      </c>
      <c r="D154" s="0" t="s">
        <v>956</v>
      </c>
      <c r="E154" s="0" t="s">
        <v>364</v>
      </c>
      <c r="F154" s="24" t="n">
        <v>0.458333333333333</v>
      </c>
      <c r="G154" s="0" t="s">
        <v>1035</v>
      </c>
      <c r="H154" s="0" t="n">
        <v>11</v>
      </c>
      <c r="I154" s="0" t="s">
        <v>17</v>
      </c>
      <c r="J154" s="0" t="s">
        <v>290</v>
      </c>
    </row>
    <row r="155" customFormat="false" ht="12.5" hidden="false" customHeight="false" outlineLevel="0" collapsed="false">
      <c r="A155" s="5" t="n">
        <v>46110</v>
      </c>
      <c r="B155" s="0" t="s">
        <v>1022</v>
      </c>
      <c r="C155" s="0" t="s">
        <v>1015</v>
      </c>
      <c r="D155" s="0" t="s">
        <v>956</v>
      </c>
      <c r="E155" s="0" t="s">
        <v>364</v>
      </c>
      <c r="F155" s="24" t="n">
        <v>0.4375</v>
      </c>
      <c r="G155" s="0" t="s">
        <v>1029</v>
      </c>
      <c r="H155" s="0" t="n">
        <v>11</v>
      </c>
      <c r="I155" s="0" t="s">
        <v>17</v>
      </c>
      <c r="J155" s="0" t="s">
        <v>290</v>
      </c>
    </row>
    <row r="156" customFormat="false" ht="12.5" hidden="false" customHeight="false" outlineLevel="0" collapsed="false">
      <c r="A156" s="5" t="n">
        <v>46110</v>
      </c>
      <c r="B156" s="0" t="s">
        <v>1021</v>
      </c>
      <c r="C156" s="0" t="s">
        <v>1018</v>
      </c>
      <c r="D156" s="0" t="s">
        <v>956</v>
      </c>
      <c r="E156" s="0" t="s">
        <v>364</v>
      </c>
      <c r="F156" s="24" t="n">
        <v>0.635416666666667</v>
      </c>
      <c r="G156" s="0" t="s">
        <v>1023</v>
      </c>
      <c r="H156" s="0" t="n">
        <v>11</v>
      </c>
      <c r="I156" s="0" t="s">
        <v>17</v>
      </c>
      <c r="J156" s="0" t="s">
        <v>290</v>
      </c>
    </row>
    <row r="157" customFormat="false" ht="12.5" hidden="false" customHeight="false" outlineLevel="0" collapsed="false">
      <c r="A157" s="5" t="n">
        <v>46124</v>
      </c>
      <c r="B157" s="0" t="s">
        <v>1009</v>
      </c>
      <c r="C157" s="0" t="s">
        <v>1013</v>
      </c>
      <c r="D157" s="0" t="s">
        <v>956</v>
      </c>
      <c r="E157" s="0" t="s">
        <v>364</v>
      </c>
      <c r="F157" s="24" t="n">
        <v>0.46875</v>
      </c>
      <c r="G157" s="0" t="s">
        <v>1011</v>
      </c>
      <c r="H157" s="0" t="n">
        <v>12</v>
      </c>
      <c r="I157" s="0" t="s">
        <v>17</v>
      </c>
      <c r="J157" s="0" t="s">
        <v>290</v>
      </c>
    </row>
    <row r="158" customFormat="false" ht="12.5" hidden="false" customHeight="false" outlineLevel="0" collapsed="false">
      <c r="A158" s="5" t="n">
        <v>46124</v>
      </c>
      <c r="B158" s="0" t="s">
        <v>1012</v>
      </c>
      <c r="C158" s="0" t="s">
        <v>1016</v>
      </c>
      <c r="D158" s="0" t="s">
        <v>956</v>
      </c>
      <c r="E158" s="0" t="s">
        <v>364</v>
      </c>
      <c r="F158" s="24" t="n">
        <v>0.375</v>
      </c>
      <c r="G158" s="0" t="s">
        <v>1014</v>
      </c>
      <c r="H158" s="0" t="n">
        <v>12</v>
      </c>
      <c r="I158" s="0" t="s">
        <v>17</v>
      </c>
      <c r="J158" s="0" t="s">
        <v>290</v>
      </c>
    </row>
    <row r="159" customFormat="false" ht="12.5" hidden="false" customHeight="false" outlineLevel="0" collapsed="false">
      <c r="A159" s="5" t="n">
        <v>46124</v>
      </c>
      <c r="B159" s="0" t="s">
        <v>1024</v>
      </c>
      <c r="C159" s="0" t="s">
        <v>1019</v>
      </c>
      <c r="D159" s="0" t="s">
        <v>956</v>
      </c>
      <c r="E159" s="0" t="s">
        <v>364</v>
      </c>
      <c r="F159" s="24" t="n">
        <v>0.416666666666667</v>
      </c>
      <c r="G159" s="0" t="s">
        <v>1026</v>
      </c>
      <c r="H159" s="0" t="n">
        <v>12</v>
      </c>
      <c r="I159" s="0" t="s">
        <v>17</v>
      </c>
      <c r="J159" s="0" t="s">
        <v>290</v>
      </c>
    </row>
    <row r="160" customFormat="false" ht="12.5" hidden="false" customHeight="false" outlineLevel="0" collapsed="false">
      <c r="A160" s="5" t="n">
        <v>46124</v>
      </c>
      <c r="B160" s="0" t="s">
        <v>1018</v>
      </c>
      <c r="C160" s="0" t="s">
        <v>1022</v>
      </c>
      <c r="D160" s="0" t="s">
        <v>956</v>
      </c>
      <c r="E160" s="0" t="s">
        <v>364</v>
      </c>
      <c r="F160" s="24" t="n">
        <v>0.645833333333333</v>
      </c>
      <c r="G160" s="0" t="s">
        <v>1020</v>
      </c>
      <c r="H160" s="0" t="n">
        <v>12</v>
      </c>
      <c r="I160" s="0" t="s">
        <v>17</v>
      </c>
      <c r="J160" s="0" t="s">
        <v>290</v>
      </c>
    </row>
    <row r="161" customFormat="false" ht="12.5" hidden="false" customHeight="false" outlineLevel="0" collapsed="false">
      <c r="A161" s="5" t="n">
        <v>46124</v>
      </c>
      <c r="B161" s="0" t="s">
        <v>1010</v>
      </c>
      <c r="C161" s="0" t="s">
        <v>1025</v>
      </c>
      <c r="D161" s="0" t="s">
        <v>956</v>
      </c>
      <c r="E161" s="0" t="s">
        <v>364</v>
      </c>
      <c r="F161" s="24" t="n">
        <v>0.697916666666667</v>
      </c>
      <c r="G161" s="0" t="s">
        <v>1030</v>
      </c>
      <c r="H161" s="0" t="n">
        <v>12</v>
      </c>
      <c r="I161" s="0" t="s">
        <v>17</v>
      </c>
      <c r="J161" s="0" t="s">
        <v>290</v>
      </c>
    </row>
    <row r="162" customFormat="false" ht="12.5" hidden="false" customHeight="false" outlineLevel="0" collapsed="false">
      <c r="A162" s="5" t="n">
        <v>46124</v>
      </c>
      <c r="B162" s="0" t="s">
        <v>1015</v>
      </c>
      <c r="C162" s="0" t="s">
        <v>951</v>
      </c>
      <c r="D162" s="0" t="s">
        <v>956</v>
      </c>
      <c r="E162" s="0" t="s">
        <v>364</v>
      </c>
      <c r="F162" s="24" t="n">
        <v>0.458333333333333</v>
      </c>
      <c r="G162" s="0" t="s">
        <v>1017</v>
      </c>
      <c r="H162" s="0" t="n">
        <v>12</v>
      </c>
      <c r="I162" s="0" t="s">
        <v>17</v>
      </c>
      <c r="J162" s="0" t="s">
        <v>290</v>
      </c>
    </row>
    <row r="163" customFormat="false" ht="12.5" hidden="false" customHeight="false" outlineLevel="0" collapsed="false">
      <c r="A163" s="5" t="n">
        <v>46124</v>
      </c>
      <c r="B163" s="0" t="s">
        <v>1027</v>
      </c>
      <c r="C163" s="0" t="s">
        <v>1021</v>
      </c>
      <c r="D163" s="0" t="s">
        <v>956</v>
      </c>
      <c r="E163" s="0" t="s">
        <v>364</v>
      </c>
      <c r="F163" s="24" t="n">
        <v>0.75</v>
      </c>
      <c r="G163" s="0" t="s">
        <v>1028</v>
      </c>
      <c r="H163" s="0" t="n">
        <v>12</v>
      </c>
      <c r="I163" s="0" t="s">
        <v>17</v>
      </c>
      <c r="J163" s="0" t="s">
        <v>290</v>
      </c>
    </row>
    <row r="164" customFormat="false" ht="12.5" hidden="false" customHeight="false" outlineLevel="0" collapsed="false">
      <c r="A164" s="5" t="n">
        <v>46131</v>
      </c>
      <c r="B164" s="0" t="s">
        <v>1013</v>
      </c>
      <c r="C164" s="0" t="s">
        <v>1010</v>
      </c>
      <c r="D164" s="0" t="s">
        <v>956</v>
      </c>
      <c r="E164" s="0" t="s">
        <v>364</v>
      </c>
      <c r="F164" s="24" t="n">
        <v>0.375</v>
      </c>
      <c r="G164" s="0" t="s">
        <v>1031</v>
      </c>
      <c r="H164" s="0" t="n">
        <v>13</v>
      </c>
      <c r="I164" s="0" t="s">
        <v>17</v>
      </c>
      <c r="J164" s="0" t="s">
        <v>290</v>
      </c>
    </row>
    <row r="165" customFormat="false" ht="12.5" hidden="false" customHeight="false" outlineLevel="0" collapsed="false">
      <c r="A165" s="5" t="n">
        <v>46131</v>
      </c>
      <c r="B165" s="0" t="s">
        <v>1021</v>
      </c>
      <c r="C165" s="0" t="s">
        <v>1009</v>
      </c>
      <c r="D165" s="0" t="s">
        <v>956</v>
      </c>
      <c r="E165" s="0" t="s">
        <v>364</v>
      </c>
      <c r="F165" s="24" t="n">
        <v>0.635416666666667</v>
      </c>
      <c r="G165" s="0" t="s">
        <v>1023</v>
      </c>
      <c r="H165" s="0" t="n">
        <v>13</v>
      </c>
      <c r="I165" s="0" t="s">
        <v>17</v>
      </c>
      <c r="J165" s="0" t="s">
        <v>290</v>
      </c>
    </row>
    <row r="166" customFormat="false" ht="12.5" hidden="false" customHeight="false" outlineLevel="0" collapsed="false">
      <c r="A166" s="5" t="n">
        <v>46131</v>
      </c>
      <c r="B166" s="0" t="s">
        <v>1025</v>
      </c>
      <c r="C166" s="0" t="s">
        <v>1012</v>
      </c>
      <c r="D166" s="0" t="s">
        <v>956</v>
      </c>
      <c r="E166" s="0" t="s">
        <v>364</v>
      </c>
      <c r="F166" s="24" t="n">
        <v>0.46875</v>
      </c>
      <c r="G166" s="0" t="s">
        <v>1032</v>
      </c>
      <c r="H166" s="0" t="n">
        <v>13</v>
      </c>
      <c r="I166" s="0" t="s">
        <v>17</v>
      </c>
      <c r="J166" s="0" t="s">
        <v>290</v>
      </c>
    </row>
    <row r="167" customFormat="false" ht="12.5" hidden="false" customHeight="false" outlineLevel="0" collapsed="false">
      <c r="A167" s="5" t="n">
        <v>46131</v>
      </c>
      <c r="B167" s="0" t="s">
        <v>1016</v>
      </c>
      <c r="C167" s="0" t="s">
        <v>1024</v>
      </c>
      <c r="D167" s="0" t="s">
        <v>956</v>
      </c>
      <c r="E167" s="0" t="s">
        <v>364</v>
      </c>
      <c r="F167" s="24" t="n">
        <v>0.458333333333333</v>
      </c>
      <c r="G167" s="0" t="s">
        <v>1034</v>
      </c>
      <c r="H167" s="0" t="n">
        <v>13</v>
      </c>
      <c r="I167" s="0" t="s">
        <v>17</v>
      </c>
      <c r="J167" s="0" t="s">
        <v>290</v>
      </c>
    </row>
    <row r="168" customFormat="false" ht="12.5" hidden="false" customHeight="false" outlineLevel="0" collapsed="false">
      <c r="A168" s="5" t="n">
        <v>46131</v>
      </c>
      <c r="B168" s="0" t="s">
        <v>1019</v>
      </c>
      <c r="C168" s="0" t="s">
        <v>1015</v>
      </c>
      <c r="D168" s="0" t="s">
        <v>956</v>
      </c>
      <c r="E168" s="0" t="s">
        <v>364</v>
      </c>
      <c r="F168" s="24" t="n">
        <v>0.395833333333333</v>
      </c>
      <c r="G168" s="0" t="s">
        <v>1033</v>
      </c>
      <c r="H168" s="0" t="n">
        <v>13</v>
      </c>
      <c r="I168" s="0" t="s">
        <v>17</v>
      </c>
      <c r="J168" s="0" t="s">
        <v>290</v>
      </c>
    </row>
    <row r="169" customFormat="false" ht="12.5" hidden="false" customHeight="false" outlineLevel="0" collapsed="false">
      <c r="A169" s="5" t="n">
        <v>46131</v>
      </c>
      <c r="B169" s="0" t="s">
        <v>1022</v>
      </c>
      <c r="C169" s="0" t="s">
        <v>1027</v>
      </c>
      <c r="D169" s="0" t="s">
        <v>956</v>
      </c>
      <c r="E169" s="0" t="s">
        <v>364</v>
      </c>
      <c r="F169" s="24" t="n">
        <v>0.4375</v>
      </c>
      <c r="G169" s="0" t="s">
        <v>1029</v>
      </c>
      <c r="H169" s="0" t="n">
        <v>13</v>
      </c>
      <c r="I169" s="0" t="s">
        <v>17</v>
      </c>
      <c r="J169" s="0" t="s">
        <v>290</v>
      </c>
    </row>
    <row r="170" customFormat="false" ht="12.5" hidden="false" customHeight="false" outlineLevel="0" collapsed="false">
      <c r="A170" s="5" t="n">
        <v>46131</v>
      </c>
      <c r="B170" s="0" t="s">
        <v>951</v>
      </c>
      <c r="C170" s="0" t="s">
        <v>1018</v>
      </c>
      <c r="D170" s="0" t="s">
        <v>956</v>
      </c>
      <c r="E170" s="0" t="s">
        <v>364</v>
      </c>
      <c r="F170" s="24" t="n">
        <v>0.458333333333333</v>
      </c>
      <c r="G170" s="0" t="s">
        <v>1035</v>
      </c>
      <c r="H170" s="0" t="n">
        <v>13</v>
      </c>
      <c r="I170" s="0" t="s">
        <v>17</v>
      </c>
      <c r="J170" s="0" t="s">
        <v>290</v>
      </c>
    </row>
    <row r="171" customFormat="false" ht="12.5" hidden="false" customHeight="false" outlineLevel="0" collapsed="false">
      <c r="A171" s="5" t="n">
        <v>46130</v>
      </c>
      <c r="B171" s="0" t="s">
        <v>1036</v>
      </c>
      <c r="C171" s="0" t="s">
        <v>916</v>
      </c>
      <c r="D171" s="0" t="s">
        <v>956</v>
      </c>
      <c r="E171" s="0" t="s">
        <v>311</v>
      </c>
      <c r="F171" s="24" t="n">
        <v>0.604166666666667</v>
      </c>
      <c r="G171" s="0" t="s">
        <v>938</v>
      </c>
      <c r="H171" s="0" t="n">
        <v>26</v>
      </c>
      <c r="I171" s="0" t="s">
        <v>17</v>
      </c>
      <c r="J171" s="0" t="s">
        <v>290</v>
      </c>
    </row>
    <row r="172" customFormat="false" ht="12.5" hidden="false" customHeight="false" outlineLevel="0" collapsed="false">
      <c r="A172" s="5" t="n">
        <v>46131</v>
      </c>
      <c r="B172" s="0" t="s">
        <v>530</v>
      </c>
      <c r="C172" s="0" t="s">
        <v>1037</v>
      </c>
      <c r="D172" s="0" t="s">
        <v>956</v>
      </c>
      <c r="E172" s="0" t="s">
        <v>311</v>
      </c>
      <c r="F172" s="24" t="n">
        <v>0.375</v>
      </c>
      <c r="G172" s="0" t="s">
        <v>1038</v>
      </c>
      <c r="H172" s="0" t="n">
        <v>26</v>
      </c>
      <c r="I172" s="0" t="s">
        <v>17</v>
      </c>
      <c r="J172" s="0" t="s">
        <v>290</v>
      </c>
    </row>
    <row r="173" customFormat="false" ht="12.5" hidden="false" customHeight="false" outlineLevel="0" collapsed="false">
      <c r="A173" s="5" t="n">
        <v>46131</v>
      </c>
      <c r="B173" s="0" t="s">
        <v>1039</v>
      </c>
      <c r="C173" s="0" t="s">
        <v>536</v>
      </c>
      <c r="D173" s="0" t="s">
        <v>956</v>
      </c>
      <c r="E173" s="0" t="s">
        <v>311</v>
      </c>
      <c r="F173" s="24" t="n">
        <v>0.385416666666667</v>
      </c>
      <c r="G173" s="0" t="s">
        <v>1040</v>
      </c>
      <c r="H173" s="0" t="n">
        <v>26</v>
      </c>
      <c r="I173" s="0" t="s">
        <v>17</v>
      </c>
      <c r="J173" s="0" t="s">
        <v>290</v>
      </c>
    </row>
    <row r="174" customFormat="false" ht="12.5" hidden="false" customHeight="false" outlineLevel="0" collapsed="false">
      <c r="A174" s="5" t="n">
        <v>46131</v>
      </c>
      <c r="B174" s="0" t="s">
        <v>1041</v>
      </c>
      <c r="C174" s="0" t="s">
        <v>527</v>
      </c>
      <c r="D174" s="0" t="s">
        <v>956</v>
      </c>
      <c r="E174" s="0" t="s">
        <v>311</v>
      </c>
      <c r="F174" s="24" t="n">
        <v>0.385416666666667</v>
      </c>
      <c r="G174" s="0" t="s">
        <v>1042</v>
      </c>
      <c r="H174" s="0" t="n">
        <v>26</v>
      </c>
      <c r="I174" s="0" t="s">
        <v>17</v>
      </c>
      <c r="J174" s="0" t="s">
        <v>290</v>
      </c>
    </row>
    <row r="175" customFormat="false" ht="12.5" hidden="false" customHeight="false" outlineLevel="0" collapsed="false">
      <c r="A175" s="5" t="n">
        <v>46131</v>
      </c>
      <c r="B175" s="0" t="s">
        <v>1043</v>
      </c>
      <c r="C175" s="0" t="s">
        <v>940</v>
      </c>
      <c r="D175" s="0" t="s">
        <v>956</v>
      </c>
      <c r="E175" s="0" t="s">
        <v>311</v>
      </c>
      <c r="F175" s="24" t="n">
        <v>0.416666666666667</v>
      </c>
      <c r="G175" s="0" t="s">
        <v>1044</v>
      </c>
      <c r="H175" s="0" t="n">
        <v>26</v>
      </c>
      <c r="I175" s="0" t="s">
        <v>17</v>
      </c>
      <c r="J175" s="0" t="s">
        <v>290</v>
      </c>
    </row>
    <row r="176" customFormat="false" ht="12.5" hidden="false" customHeight="false" outlineLevel="0" collapsed="false">
      <c r="A176" s="5" t="n">
        <v>46060</v>
      </c>
      <c r="B176" s="0" t="s">
        <v>916</v>
      </c>
      <c r="C176" s="0" t="s">
        <v>1041</v>
      </c>
      <c r="D176" s="0" t="s">
        <v>956</v>
      </c>
      <c r="E176" s="0" t="s">
        <v>311</v>
      </c>
      <c r="F176" s="24" t="n">
        <v>0.625</v>
      </c>
      <c r="G176" s="0" t="s">
        <v>931</v>
      </c>
      <c r="H176" s="0" t="n">
        <v>17</v>
      </c>
      <c r="I176" s="0" t="s">
        <v>17</v>
      </c>
      <c r="J176" s="0" t="s">
        <v>290</v>
      </c>
    </row>
    <row r="177" customFormat="false" ht="12.5" hidden="false" customHeight="false" outlineLevel="0" collapsed="false">
      <c r="A177" s="5" t="n">
        <v>46061</v>
      </c>
      <c r="B177" s="0" t="s">
        <v>1045</v>
      </c>
      <c r="C177" s="0" t="s">
        <v>527</v>
      </c>
      <c r="D177" s="0" t="s">
        <v>956</v>
      </c>
      <c r="E177" s="0" t="s">
        <v>311</v>
      </c>
      <c r="F177" s="24" t="n">
        <v>0.375</v>
      </c>
      <c r="G177" s="0" t="s">
        <v>1046</v>
      </c>
      <c r="H177" s="0" t="n">
        <v>17</v>
      </c>
      <c r="I177" s="0" t="s">
        <v>17</v>
      </c>
      <c r="J177" s="0" t="s">
        <v>290</v>
      </c>
    </row>
    <row r="178" customFormat="false" ht="12.5" hidden="false" customHeight="false" outlineLevel="0" collapsed="false">
      <c r="A178" s="5" t="n">
        <v>46061</v>
      </c>
      <c r="B178" s="0" t="s">
        <v>940</v>
      </c>
      <c r="C178" s="0" t="s">
        <v>536</v>
      </c>
      <c r="D178" s="0" t="s">
        <v>956</v>
      </c>
      <c r="E178" s="0" t="s">
        <v>311</v>
      </c>
      <c r="F178" s="24" t="n">
        <v>0.375</v>
      </c>
      <c r="G178" s="0" t="s">
        <v>1047</v>
      </c>
      <c r="H178" s="0" t="n">
        <v>17</v>
      </c>
      <c r="I178" s="0" t="s">
        <v>17</v>
      </c>
      <c r="J178" s="0" t="s">
        <v>290</v>
      </c>
    </row>
    <row r="179" customFormat="false" ht="12.5" hidden="false" customHeight="false" outlineLevel="0" collapsed="false">
      <c r="A179" s="5" t="n">
        <v>46061</v>
      </c>
      <c r="B179" s="0" t="s">
        <v>1039</v>
      </c>
      <c r="C179" s="0" t="s">
        <v>1036</v>
      </c>
      <c r="D179" s="0" t="s">
        <v>956</v>
      </c>
      <c r="E179" s="0" t="s">
        <v>311</v>
      </c>
      <c r="F179" s="24" t="n">
        <v>0.385416666666667</v>
      </c>
      <c r="G179" s="0" t="s">
        <v>1040</v>
      </c>
      <c r="H179" s="0" t="n">
        <v>17</v>
      </c>
      <c r="I179" s="0" t="s">
        <v>17</v>
      </c>
      <c r="J179" s="0" t="s">
        <v>290</v>
      </c>
    </row>
    <row r="180" customFormat="false" ht="12.5" hidden="false" customHeight="false" outlineLevel="0" collapsed="false">
      <c r="A180" s="5" t="n">
        <v>46061</v>
      </c>
      <c r="B180" s="0" t="s">
        <v>1043</v>
      </c>
      <c r="C180" s="0" t="s">
        <v>1037</v>
      </c>
      <c r="D180" s="0" t="s">
        <v>956</v>
      </c>
      <c r="E180" s="0" t="s">
        <v>311</v>
      </c>
      <c r="F180" s="24" t="n">
        <v>0.416666666666667</v>
      </c>
      <c r="G180" s="0" t="s">
        <v>1044</v>
      </c>
      <c r="H180" s="0" t="n">
        <v>17</v>
      </c>
      <c r="I180" s="0" t="s">
        <v>17</v>
      </c>
      <c r="J180" s="0" t="s">
        <v>290</v>
      </c>
    </row>
    <row r="181" customFormat="false" ht="12.5" hidden="false" customHeight="false" outlineLevel="0" collapsed="false">
      <c r="A181" s="5" t="n">
        <v>46067</v>
      </c>
      <c r="B181" s="0" t="s">
        <v>1036</v>
      </c>
      <c r="C181" s="0" t="s">
        <v>1043</v>
      </c>
      <c r="D181" s="0" t="s">
        <v>956</v>
      </c>
      <c r="E181" s="0" t="s">
        <v>311</v>
      </c>
      <c r="F181" s="24" t="n">
        <v>0.604166666666667</v>
      </c>
      <c r="G181" s="0" t="s">
        <v>938</v>
      </c>
      <c r="H181" s="0" t="n">
        <v>18</v>
      </c>
      <c r="I181" s="0" t="s">
        <v>17</v>
      </c>
      <c r="J181" s="0" t="s">
        <v>290</v>
      </c>
    </row>
    <row r="182" customFormat="false" ht="12.5" hidden="false" customHeight="false" outlineLevel="0" collapsed="false">
      <c r="A182" s="5" t="n">
        <v>46067</v>
      </c>
      <c r="B182" s="0" t="s">
        <v>1037</v>
      </c>
      <c r="C182" s="0" t="s">
        <v>1045</v>
      </c>
      <c r="D182" s="0" t="s">
        <v>956</v>
      </c>
      <c r="E182" s="0" t="s">
        <v>311</v>
      </c>
      <c r="F182" s="24" t="n">
        <v>0.6875</v>
      </c>
      <c r="G182" s="0" t="s">
        <v>564</v>
      </c>
      <c r="H182" s="0" t="n">
        <v>18</v>
      </c>
      <c r="I182" s="0" t="s">
        <v>17</v>
      </c>
      <c r="J182" s="0" t="s">
        <v>290</v>
      </c>
    </row>
    <row r="183" customFormat="false" ht="12.5" hidden="false" customHeight="false" outlineLevel="0" collapsed="false">
      <c r="A183" s="5" t="n">
        <v>46068</v>
      </c>
      <c r="B183" s="0" t="s">
        <v>530</v>
      </c>
      <c r="C183" s="0" t="s">
        <v>1039</v>
      </c>
      <c r="D183" s="0" t="s">
        <v>956</v>
      </c>
      <c r="E183" s="0" t="s">
        <v>311</v>
      </c>
      <c r="F183" s="24" t="n">
        <v>0.375</v>
      </c>
      <c r="G183" s="0" t="s">
        <v>1038</v>
      </c>
      <c r="H183" s="0" t="n">
        <v>18</v>
      </c>
      <c r="I183" s="0" t="s">
        <v>17</v>
      </c>
      <c r="J183" s="0" t="s">
        <v>290</v>
      </c>
    </row>
    <row r="184" customFormat="false" ht="12.5" hidden="false" customHeight="false" outlineLevel="0" collapsed="false">
      <c r="A184" s="5" t="n">
        <v>46068</v>
      </c>
      <c r="B184" s="0" t="s">
        <v>536</v>
      </c>
      <c r="C184" s="0" t="s">
        <v>916</v>
      </c>
      <c r="D184" s="0" t="s">
        <v>956</v>
      </c>
      <c r="E184" s="0" t="s">
        <v>311</v>
      </c>
      <c r="F184" s="24" t="n">
        <v>0.4375</v>
      </c>
      <c r="G184" s="0" t="s">
        <v>928</v>
      </c>
      <c r="H184" s="0" t="n">
        <v>18</v>
      </c>
      <c r="I184" s="0" t="s">
        <v>17</v>
      </c>
      <c r="J184" s="0" t="s">
        <v>290</v>
      </c>
    </row>
    <row r="185" customFormat="false" ht="12.5" hidden="false" customHeight="false" outlineLevel="0" collapsed="false">
      <c r="A185" s="5" t="n">
        <v>46053</v>
      </c>
      <c r="B185" s="0" t="s">
        <v>1037</v>
      </c>
      <c r="C185" s="0" t="s">
        <v>1039</v>
      </c>
      <c r="D185" s="0" t="s">
        <v>956</v>
      </c>
      <c r="E185" s="0" t="s">
        <v>311</v>
      </c>
      <c r="F185" s="24" t="n">
        <v>0.6875</v>
      </c>
      <c r="G185" s="0" t="s">
        <v>564</v>
      </c>
      <c r="H185" s="0" t="n">
        <v>16</v>
      </c>
      <c r="I185" s="0" t="s">
        <v>17</v>
      </c>
      <c r="J185" s="0" t="s">
        <v>290</v>
      </c>
    </row>
    <row r="186" customFormat="false" ht="12.5" hidden="false" customHeight="false" outlineLevel="0" collapsed="false">
      <c r="A186" s="5" t="n">
        <v>46054</v>
      </c>
      <c r="B186" s="0" t="s">
        <v>530</v>
      </c>
      <c r="C186" s="0" t="s">
        <v>1041</v>
      </c>
      <c r="D186" s="0" t="s">
        <v>956</v>
      </c>
      <c r="E186" s="0" t="s">
        <v>311</v>
      </c>
      <c r="F186" s="24" t="n">
        <v>0.375</v>
      </c>
      <c r="G186" s="0" t="s">
        <v>1038</v>
      </c>
      <c r="H186" s="0" t="n">
        <v>16</v>
      </c>
      <c r="I186" s="0" t="s">
        <v>17</v>
      </c>
      <c r="J186" s="0" t="s">
        <v>290</v>
      </c>
    </row>
    <row r="187" customFormat="false" ht="12.5" hidden="false" customHeight="false" outlineLevel="0" collapsed="false">
      <c r="A187" s="5" t="n">
        <v>46054</v>
      </c>
      <c r="B187" s="0" t="s">
        <v>940</v>
      </c>
      <c r="C187" s="0" t="s">
        <v>916</v>
      </c>
      <c r="D187" s="0" t="s">
        <v>956</v>
      </c>
      <c r="E187" s="0" t="s">
        <v>311</v>
      </c>
      <c r="F187" s="24" t="n">
        <v>0.375</v>
      </c>
      <c r="G187" s="0" t="s">
        <v>1047</v>
      </c>
      <c r="H187" s="0" t="n">
        <v>16</v>
      </c>
      <c r="I187" s="0" t="s">
        <v>17</v>
      </c>
      <c r="J187" s="0" t="s">
        <v>290</v>
      </c>
    </row>
    <row r="188" customFormat="false" ht="12.5" hidden="false" customHeight="false" outlineLevel="0" collapsed="false">
      <c r="A188" s="5" t="n">
        <v>46054</v>
      </c>
      <c r="B188" s="0" t="s">
        <v>527</v>
      </c>
      <c r="C188" s="0" t="s">
        <v>1043</v>
      </c>
      <c r="D188" s="0" t="s">
        <v>956</v>
      </c>
      <c r="E188" s="0" t="s">
        <v>311</v>
      </c>
      <c r="F188" s="24" t="n">
        <v>0.416666666666667</v>
      </c>
      <c r="G188" s="0" t="s">
        <v>1048</v>
      </c>
      <c r="H188" s="0" t="n">
        <v>16</v>
      </c>
      <c r="I188" s="0" t="s">
        <v>17</v>
      </c>
      <c r="J188" s="0" t="s">
        <v>290</v>
      </c>
    </row>
    <row r="189" customFormat="false" ht="12.5" hidden="false" customHeight="false" outlineLevel="0" collapsed="false">
      <c r="A189" s="5" t="n">
        <v>46004</v>
      </c>
      <c r="B189" s="0" t="s">
        <v>916</v>
      </c>
      <c r="C189" s="0" t="s">
        <v>1036</v>
      </c>
      <c r="D189" s="0" t="s">
        <v>956</v>
      </c>
      <c r="E189" s="0" t="s">
        <v>311</v>
      </c>
      <c r="F189" s="24" t="n">
        <v>0.625</v>
      </c>
      <c r="G189" s="0" t="s">
        <v>931</v>
      </c>
      <c r="H189" s="0" t="n">
        <v>13</v>
      </c>
      <c r="I189" s="0" t="s">
        <v>17</v>
      </c>
      <c r="J189" s="0" t="s">
        <v>290</v>
      </c>
    </row>
    <row r="190" customFormat="false" ht="12.5" hidden="false" customHeight="false" outlineLevel="0" collapsed="false">
      <c r="A190" s="5" t="n">
        <v>46004</v>
      </c>
      <c r="B190" s="0" t="s">
        <v>1037</v>
      </c>
      <c r="C190" s="0" t="s">
        <v>530</v>
      </c>
      <c r="D190" s="0" t="s">
        <v>956</v>
      </c>
      <c r="E190" s="0" t="s">
        <v>311</v>
      </c>
      <c r="F190" s="24" t="n">
        <v>0.6875</v>
      </c>
      <c r="G190" s="0" t="s">
        <v>564</v>
      </c>
      <c r="H190" s="0" t="n">
        <v>13</v>
      </c>
      <c r="I190" s="0" t="s">
        <v>17</v>
      </c>
      <c r="J190" s="0" t="s">
        <v>290</v>
      </c>
    </row>
    <row r="191" customFormat="false" ht="12.5" hidden="false" customHeight="false" outlineLevel="0" collapsed="false">
      <c r="A191" s="5" t="n">
        <v>46005</v>
      </c>
      <c r="B191" s="0" t="s">
        <v>940</v>
      </c>
      <c r="C191" s="0" t="s">
        <v>1043</v>
      </c>
      <c r="D191" s="0" t="s">
        <v>956</v>
      </c>
      <c r="E191" s="0" t="s">
        <v>311</v>
      </c>
      <c r="F191" s="24" t="n">
        <v>0.375</v>
      </c>
      <c r="G191" s="0" t="s">
        <v>1047</v>
      </c>
      <c r="H191" s="0" t="n">
        <v>13</v>
      </c>
      <c r="I191" s="0" t="s">
        <v>17</v>
      </c>
      <c r="J191" s="0" t="s">
        <v>290</v>
      </c>
    </row>
    <row r="192" customFormat="false" ht="12.5" hidden="false" customHeight="false" outlineLevel="0" collapsed="false">
      <c r="A192" s="5" t="n">
        <v>46005</v>
      </c>
      <c r="B192" s="0" t="s">
        <v>527</v>
      </c>
      <c r="C192" s="0" t="s">
        <v>1041</v>
      </c>
      <c r="D192" s="0" t="s">
        <v>956</v>
      </c>
      <c r="E192" s="0" t="s">
        <v>311</v>
      </c>
      <c r="F192" s="24" t="n">
        <v>0.416666666666667</v>
      </c>
      <c r="G192" s="0" t="s">
        <v>1048</v>
      </c>
      <c r="H192" s="0" t="n">
        <v>13</v>
      </c>
      <c r="I192" s="0" t="s">
        <v>17</v>
      </c>
      <c r="J192" s="0" t="s">
        <v>290</v>
      </c>
    </row>
    <row r="193" customFormat="false" ht="12.5" hidden="false" customHeight="false" outlineLevel="0" collapsed="false">
      <c r="A193" s="5" t="n">
        <v>46005</v>
      </c>
      <c r="B193" s="0" t="s">
        <v>536</v>
      </c>
      <c r="C193" s="0" t="s">
        <v>1039</v>
      </c>
      <c r="D193" s="0" t="s">
        <v>956</v>
      </c>
      <c r="E193" s="0" t="s">
        <v>311</v>
      </c>
      <c r="F193" s="24" t="n">
        <v>0.4375</v>
      </c>
      <c r="G193" s="0" t="s">
        <v>928</v>
      </c>
      <c r="H193" s="0" t="n">
        <v>13</v>
      </c>
      <c r="I193" s="0" t="s">
        <v>17</v>
      </c>
      <c r="J193" s="0" t="s">
        <v>290</v>
      </c>
    </row>
    <row r="194" customFormat="false" ht="12.5" hidden="false" customHeight="false" outlineLevel="0" collapsed="false">
      <c r="A194" s="5" t="n">
        <v>46039</v>
      </c>
      <c r="B194" s="0" t="s">
        <v>1036</v>
      </c>
      <c r="C194" s="0" t="s">
        <v>530</v>
      </c>
      <c r="D194" s="0" t="s">
        <v>956</v>
      </c>
      <c r="E194" s="0" t="s">
        <v>311</v>
      </c>
      <c r="F194" s="24" t="n">
        <v>0.604166666666667</v>
      </c>
      <c r="G194" s="0" t="s">
        <v>938</v>
      </c>
      <c r="H194" s="0" t="n">
        <v>14</v>
      </c>
      <c r="I194" s="0" t="s">
        <v>17</v>
      </c>
      <c r="J194" s="0" t="s">
        <v>290</v>
      </c>
    </row>
    <row r="195" customFormat="false" ht="12.5" hidden="false" customHeight="false" outlineLevel="0" collapsed="false">
      <c r="A195" s="5" t="n">
        <v>46039</v>
      </c>
      <c r="B195" s="0" t="s">
        <v>1037</v>
      </c>
      <c r="C195" s="0" t="s">
        <v>1041</v>
      </c>
      <c r="D195" s="0" t="s">
        <v>956</v>
      </c>
      <c r="E195" s="0" t="s">
        <v>311</v>
      </c>
      <c r="F195" s="24" t="n">
        <v>0.6875</v>
      </c>
      <c r="G195" s="0" t="s">
        <v>564</v>
      </c>
      <c r="H195" s="0" t="n">
        <v>14</v>
      </c>
      <c r="I195" s="0" t="s">
        <v>17</v>
      </c>
      <c r="J195" s="0" t="s">
        <v>290</v>
      </c>
    </row>
    <row r="196" customFormat="false" ht="12.5" hidden="false" customHeight="false" outlineLevel="0" collapsed="false">
      <c r="A196" s="5" t="n">
        <v>46040</v>
      </c>
      <c r="B196" s="0" t="s">
        <v>940</v>
      </c>
      <c r="C196" s="0" t="s">
        <v>1045</v>
      </c>
      <c r="D196" s="0" t="s">
        <v>956</v>
      </c>
      <c r="E196" s="0" t="s">
        <v>311</v>
      </c>
      <c r="F196" s="24" t="n">
        <v>0.375</v>
      </c>
      <c r="G196" s="0" t="s">
        <v>1047</v>
      </c>
      <c r="H196" s="0" t="n">
        <v>14</v>
      </c>
      <c r="I196" s="0" t="s">
        <v>17</v>
      </c>
      <c r="J196" s="0" t="s">
        <v>290</v>
      </c>
    </row>
    <row r="197" customFormat="false" ht="12.5" hidden="false" customHeight="false" outlineLevel="0" collapsed="false">
      <c r="A197" s="5" t="n">
        <v>46040</v>
      </c>
      <c r="B197" s="0" t="s">
        <v>536</v>
      </c>
      <c r="C197" s="0" t="s">
        <v>1043</v>
      </c>
      <c r="D197" s="0" t="s">
        <v>956</v>
      </c>
      <c r="E197" s="0" t="s">
        <v>311</v>
      </c>
      <c r="F197" s="24" t="n">
        <v>0.4375</v>
      </c>
      <c r="G197" s="0" t="s">
        <v>928</v>
      </c>
      <c r="H197" s="0" t="n">
        <v>14</v>
      </c>
      <c r="I197" s="0" t="s">
        <v>17</v>
      </c>
      <c r="J197" s="0" t="s">
        <v>290</v>
      </c>
    </row>
    <row r="198" customFormat="false" ht="12.5" hidden="false" customHeight="false" outlineLevel="0" collapsed="false">
      <c r="A198" s="5" t="n">
        <v>46047</v>
      </c>
      <c r="B198" s="0" t="s">
        <v>1045</v>
      </c>
      <c r="C198" s="0" t="s">
        <v>536</v>
      </c>
      <c r="D198" s="0" t="s">
        <v>956</v>
      </c>
      <c r="E198" s="0" t="s">
        <v>311</v>
      </c>
      <c r="F198" s="24" t="n">
        <v>0.375</v>
      </c>
      <c r="G198" s="0" t="s">
        <v>1046</v>
      </c>
      <c r="H198" s="0" t="n">
        <v>15</v>
      </c>
      <c r="I198" s="0" t="s">
        <v>17</v>
      </c>
      <c r="J198" s="0" t="s">
        <v>290</v>
      </c>
    </row>
    <row r="199" customFormat="false" ht="12.5" hidden="false" customHeight="false" outlineLevel="0" collapsed="false">
      <c r="A199" s="5" t="n">
        <v>46047</v>
      </c>
      <c r="B199" s="0" t="s">
        <v>530</v>
      </c>
      <c r="C199" s="0" t="s">
        <v>916</v>
      </c>
      <c r="D199" s="0" t="s">
        <v>956</v>
      </c>
      <c r="E199" s="0" t="s">
        <v>311</v>
      </c>
      <c r="F199" s="24" t="n">
        <v>0.375</v>
      </c>
      <c r="G199" s="0" t="s">
        <v>1038</v>
      </c>
      <c r="H199" s="0" t="n">
        <v>15</v>
      </c>
      <c r="I199" s="0" t="s">
        <v>17</v>
      </c>
      <c r="J199" s="0" t="s">
        <v>290</v>
      </c>
    </row>
    <row r="200" customFormat="false" ht="12.5" hidden="false" customHeight="false" outlineLevel="0" collapsed="false">
      <c r="A200" s="5" t="n">
        <v>46047</v>
      </c>
      <c r="B200" s="0" t="s">
        <v>1039</v>
      </c>
      <c r="C200" s="0" t="s">
        <v>527</v>
      </c>
      <c r="D200" s="0" t="s">
        <v>956</v>
      </c>
      <c r="E200" s="0" t="s">
        <v>311</v>
      </c>
      <c r="F200" s="24" t="n">
        <v>0.385416666666667</v>
      </c>
      <c r="G200" s="0" t="s">
        <v>1040</v>
      </c>
      <c r="H200" s="0" t="n">
        <v>15</v>
      </c>
      <c r="I200" s="0" t="s">
        <v>17</v>
      </c>
      <c r="J200" s="0" t="s">
        <v>290</v>
      </c>
    </row>
    <row r="201" customFormat="false" ht="12.5" hidden="false" customHeight="false" outlineLevel="0" collapsed="false">
      <c r="A201" s="5" t="n">
        <v>46047</v>
      </c>
      <c r="B201" s="0" t="s">
        <v>1041</v>
      </c>
      <c r="C201" s="0" t="s">
        <v>1036</v>
      </c>
      <c r="D201" s="0" t="s">
        <v>956</v>
      </c>
      <c r="E201" s="0" t="s">
        <v>311</v>
      </c>
      <c r="F201" s="24" t="n">
        <v>0.385416666666667</v>
      </c>
      <c r="G201" s="0" t="s">
        <v>1042</v>
      </c>
      <c r="H201" s="0" t="n">
        <v>15</v>
      </c>
      <c r="I201" s="0" t="s">
        <v>17</v>
      </c>
      <c r="J201" s="0" t="s">
        <v>290</v>
      </c>
    </row>
    <row r="202" customFormat="false" ht="12.5" hidden="false" customHeight="false" outlineLevel="0" collapsed="false">
      <c r="A202" s="5" t="n">
        <v>46075</v>
      </c>
      <c r="B202" s="0" t="s">
        <v>916</v>
      </c>
      <c r="C202" s="0" t="s">
        <v>940</v>
      </c>
      <c r="D202" s="0" t="s">
        <v>956</v>
      </c>
      <c r="E202" s="0" t="s">
        <v>311</v>
      </c>
      <c r="F202" s="24" t="n">
        <v>0.625</v>
      </c>
      <c r="G202" s="0" t="s">
        <v>931</v>
      </c>
      <c r="H202" s="0" t="n">
        <v>19</v>
      </c>
      <c r="I202" s="0" t="s">
        <v>17</v>
      </c>
      <c r="J202" s="0" t="s">
        <v>290</v>
      </c>
    </row>
    <row r="203" customFormat="false" ht="12.5" hidden="false" customHeight="false" outlineLevel="0" collapsed="false">
      <c r="A203" s="5" t="n">
        <v>46075</v>
      </c>
      <c r="B203" s="0" t="s">
        <v>1036</v>
      </c>
      <c r="C203" s="0" t="s">
        <v>1037</v>
      </c>
      <c r="D203" s="0" t="s">
        <v>956</v>
      </c>
      <c r="E203" s="0" t="s">
        <v>311</v>
      </c>
      <c r="F203" s="24" t="n">
        <v>0.604166666666667</v>
      </c>
      <c r="G203" s="0" t="s">
        <v>938</v>
      </c>
      <c r="H203" s="0" t="n">
        <v>19</v>
      </c>
      <c r="I203" s="0" t="s">
        <v>17</v>
      </c>
      <c r="J203" s="0" t="s">
        <v>290</v>
      </c>
    </row>
    <row r="204" customFormat="false" ht="12.5" hidden="false" customHeight="false" outlineLevel="0" collapsed="false">
      <c r="A204" s="5" t="n">
        <v>46076</v>
      </c>
      <c r="B204" s="0" t="s">
        <v>1041</v>
      </c>
      <c r="C204" s="0" t="s">
        <v>530</v>
      </c>
      <c r="D204" s="0" t="s">
        <v>956</v>
      </c>
      <c r="E204" s="0" t="s">
        <v>311</v>
      </c>
      <c r="F204" s="24" t="n">
        <v>0.375</v>
      </c>
      <c r="G204" s="0" t="s">
        <v>1042</v>
      </c>
      <c r="H204" s="0" t="n">
        <v>19</v>
      </c>
      <c r="I204" s="0" t="s">
        <v>17</v>
      </c>
      <c r="J204" s="0" t="s">
        <v>290</v>
      </c>
    </row>
    <row r="205" customFormat="false" ht="12.5" hidden="false" customHeight="false" outlineLevel="0" collapsed="false">
      <c r="A205" s="5" t="n">
        <v>46076</v>
      </c>
      <c r="B205" s="0" t="s">
        <v>1039</v>
      </c>
      <c r="C205" s="0" t="s">
        <v>1045</v>
      </c>
      <c r="D205" s="0" t="s">
        <v>956</v>
      </c>
      <c r="E205" s="0" t="s">
        <v>311</v>
      </c>
      <c r="F205" s="24" t="n">
        <v>0.385416666666667</v>
      </c>
      <c r="G205" s="0" t="s">
        <v>1040</v>
      </c>
      <c r="H205" s="0" t="n">
        <v>19</v>
      </c>
      <c r="I205" s="0" t="s">
        <v>17</v>
      </c>
      <c r="J205" s="0" t="s">
        <v>290</v>
      </c>
    </row>
    <row r="206" customFormat="false" ht="12.5" hidden="false" customHeight="false" outlineLevel="0" collapsed="false">
      <c r="A206" s="5" t="n">
        <v>46076</v>
      </c>
      <c r="B206" s="0" t="s">
        <v>1043</v>
      </c>
      <c r="C206" s="0" t="s">
        <v>527</v>
      </c>
      <c r="D206" s="0" t="s">
        <v>956</v>
      </c>
      <c r="E206" s="0" t="s">
        <v>311</v>
      </c>
      <c r="F206" s="24" t="n">
        <v>0.416666666666667</v>
      </c>
      <c r="G206" s="0" t="s">
        <v>1044</v>
      </c>
      <c r="H206" s="0" t="n">
        <v>19</v>
      </c>
      <c r="I206" s="0" t="s">
        <v>17</v>
      </c>
      <c r="J206" s="0" t="s">
        <v>290</v>
      </c>
    </row>
    <row r="207" customFormat="false" ht="12.5" hidden="false" customHeight="false" outlineLevel="0" collapsed="false">
      <c r="A207" s="5" t="n">
        <v>46082</v>
      </c>
      <c r="B207" s="0" t="s">
        <v>1039</v>
      </c>
      <c r="C207" s="0" t="s">
        <v>916</v>
      </c>
      <c r="D207" s="0" t="s">
        <v>956</v>
      </c>
      <c r="E207" s="0" t="s">
        <v>311</v>
      </c>
      <c r="F207" s="24" t="n">
        <v>0.385416666666667</v>
      </c>
      <c r="G207" s="0" t="s">
        <v>1040</v>
      </c>
      <c r="H207" s="0" t="n">
        <v>20</v>
      </c>
      <c r="I207" s="0" t="s">
        <v>17</v>
      </c>
      <c r="J207" s="0" t="s">
        <v>290</v>
      </c>
    </row>
    <row r="208" customFormat="false" ht="12.5" hidden="false" customHeight="false" outlineLevel="0" collapsed="false">
      <c r="A208" s="5" t="n">
        <v>46082</v>
      </c>
      <c r="B208" s="0" t="s">
        <v>1036</v>
      </c>
      <c r="C208" s="0" t="s">
        <v>940</v>
      </c>
      <c r="D208" s="0" t="s">
        <v>956</v>
      </c>
      <c r="E208" s="0" t="s">
        <v>311</v>
      </c>
      <c r="F208" s="24" t="n">
        <v>0.604166666666667</v>
      </c>
      <c r="G208" s="0" t="s">
        <v>938</v>
      </c>
      <c r="H208" s="0" t="n">
        <v>20</v>
      </c>
      <c r="I208" s="0" t="s">
        <v>17</v>
      </c>
      <c r="J208" s="0" t="s">
        <v>290</v>
      </c>
    </row>
    <row r="209" customFormat="false" ht="12.5" hidden="false" customHeight="false" outlineLevel="0" collapsed="false">
      <c r="A209" s="5" t="n">
        <v>46083</v>
      </c>
      <c r="B209" s="0" t="s">
        <v>1041</v>
      </c>
      <c r="C209" s="0" t="s">
        <v>1037</v>
      </c>
      <c r="D209" s="0" t="s">
        <v>956</v>
      </c>
      <c r="E209" s="0" t="s">
        <v>311</v>
      </c>
      <c r="F209" s="24" t="n">
        <v>0.375</v>
      </c>
      <c r="G209" s="0" t="s">
        <v>1042</v>
      </c>
      <c r="H209" s="0" t="n">
        <v>20</v>
      </c>
      <c r="I209" s="0" t="s">
        <v>17</v>
      </c>
      <c r="J209" s="0" t="s">
        <v>290</v>
      </c>
    </row>
    <row r="210" customFormat="false" ht="12.5" hidden="false" customHeight="false" outlineLevel="0" collapsed="false">
      <c r="A210" s="5" t="n">
        <v>46083</v>
      </c>
      <c r="B210" s="0" t="s">
        <v>530</v>
      </c>
      <c r="C210" s="0" t="s">
        <v>1043</v>
      </c>
      <c r="D210" s="0" t="s">
        <v>956</v>
      </c>
      <c r="E210" s="0" t="s">
        <v>311</v>
      </c>
      <c r="F210" s="24" t="n">
        <v>0.375</v>
      </c>
      <c r="G210" s="0" t="s">
        <v>1038</v>
      </c>
      <c r="H210" s="0" t="n">
        <v>20</v>
      </c>
      <c r="I210" s="0" t="s">
        <v>17</v>
      </c>
      <c r="J210" s="0" t="s">
        <v>290</v>
      </c>
    </row>
    <row r="211" customFormat="false" ht="12.5" hidden="false" customHeight="false" outlineLevel="0" collapsed="false">
      <c r="A211" s="5" t="n">
        <v>46083</v>
      </c>
      <c r="B211" s="0" t="s">
        <v>536</v>
      </c>
      <c r="C211" s="0" t="s">
        <v>1045</v>
      </c>
      <c r="D211" s="0" t="s">
        <v>956</v>
      </c>
      <c r="E211" s="0" t="s">
        <v>311</v>
      </c>
      <c r="F211" s="24" t="n">
        <v>0.4375</v>
      </c>
      <c r="G211" s="0" t="s">
        <v>928</v>
      </c>
      <c r="H211" s="0" t="n">
        <v>20</v>
      </c>
      <c r="I211" s="0" t="s">
        <v>17</v>
      </c>
      <c r="J211" s="0" t="s">
        <v>290</v>
      </c>
    </row>
    <row r="212" customFormat="false" ht="12.5" hidden="false" customHeight="false" outlineLevel="0" collapsed="false">
      <c r="A212" s="5" t="n">
        <v>46089</v>
      </c>
      <c r="B212" s="0" t="s">
        <v>940</v>
      </c>
      <c r="C212" s="0" t="s">
        <v>1039</v>
      </c>
      <c r="D212" s="0" t="s">
        <v>956</v>
      </c>
      <c r="E212" s="0" t="s">
        <v>311</v>
      </c>
      <c r="F212" s="24" t="n">
        <v>0.375</v>
      </c>
      <c r="G212" s="0" t="s">
        <v>1047</v>
      </c>
      <c r="H212" s="0" t="n">
        <v>21</v>
      </c>
      <c r="I212" s="0" t="s">
        <v>17</v>
      </c>
      <c r="J212" s="0" t="s">
        <v>290</v>
      </c>
    </row>
    <row r="213" customFormat="false" ht="12.5" hidden="false" customHeight="false" outlineLevel="0" collapsed="false">
      <c r="A213" s="5" t="n">
        <v>46089</v>
      </c>
      <c r="B213" s="0" t="s">
        <v>916</v>
      </c>
      <c r="C213" s="0" t="s">
        <v>1037</v>
      </c>
      <c r="D213" s="0" t="s">
        <v>956</v>
      </c>
      <c r="E213" s="0" t="s">
        <v>311</v>
      </c>
      <c r="F213" s="24" t="n">
        <v>0.625</v>
      </c>
      <c r="G213" s="0" t="s">
        <v>931</v>
      </c>
      <c r="H213" s="0" t="n">
        <v>21</v>
      </c>
      <c r="I213" s="0" t="s">
        <v>17</v>
      </c>
      <c r="J213" s="0" t="s">
        <v>290</v>
      </c>
    </row>
    <row r="214" customFormat="false" ht="12.5" hidden="false" customHeight="false" outlineLevel="0" collapsed="false">
      <c r="A214" s="5" t="n">
        <v>46090</v>
      </c>
      <c r="B214" s="0" t="s">
        <v>1045</v>
      </c>
      <c r="C214" s="0" t="s">
        <v>1036</v>
      </c>
      <c r="D214" s="0" t="s">
        <v>956</v>
      </c>
      <c r="E214" s="0" t="s">
        <v>311</v>
      </c>
      <c r="F214" s="24" t="n">
        <v>0.375</v>
      </c>
      <c r="G214" s="0" t="s">
        <v>1046</v>
      </c>
      <c r="H214" s="0" t="n">
        <v>21</v>
      </c>
      <c r="I214" s="0" t="s">
        <v>17</v>
      </c>
      <c r="J214" s="0" t="s">
        <v>290</v>
      </c>
    </row>
    <row r="215" customFormat="false" ht="12.5" hidden="false" customHeight="false" outlineLevel="0" collapsed="false">
      <c r="A215" s="5" t="n">
        <v>46090</v>
      </c>
      <c r="B215" s="0" t="s">
        <v>1041</v>
      </c>
      <c r="C215" s="0" t="s">
        <v>1043</v>
      </c>
      <c r="D215" s="0" t="s">
        <v>956</v>
      </c>
      <c r="E215" s="0" t="s">
        <v>311</v>
      </c>
      <c r="F215" s="24" t="n">
        <v>0.385416666666667</v>
      </c>
      <c r="G215" s="0" t="s">
        <v>1042</v>
      </c>
      <c r="H215" s="0" t="n">
        <v>21</v>
      </c>
      <c r="I215" s="0" t="s">
        <v>17</v>
      </c>
      <c r="J215" s="0" t="s">
        <v>290</v>
      </c>
    </row>
    <row r="216" customFormat="false" ht="12.5" hidden="false" customHeight="false" outlineLevel="0" collapsed="false">
      <c r="A216" s="5" t="n">
        <v>46090</v>
      </c>
      <c r="B216" s="0" t="s">
        <v>527</v>
      </c>
      <c r="C216" s="0" t="s">
        <v>530</v>
      </c>
      <c r="D216" s="0" t="s">
        <v>956</v>
      </c>
      <c r="E216" s="0" t="s">
        <v>311</v>
      </c>
      <c r="F216" s="24" t="n">
        <v>0.416666666666667</v>
      </c>
      <c r="G216" s="0" t="s">
        <v>1048</v>
      </c>
      <c r="H216" s="0" t="n">
        <v>21</v>
      </c>
      <c r="I216" s="0" t="s">
        <v>17</v>
      </c>
      <c r="J216" s="0" t="s">
        <v>290</v>
      </c>
    </row>
    <row r="217" customFormat="false" ht="12.5" hidden="false" customHeight="false" outlineLevel="0" collapsed="false">
      <c r="A217" s="5" t="n">
        <v>46096</v>
      </c>
      <c r="B217" s="0" t="s">
        <v>1037</v>
      </c>
      <c r="C217" s="0" t="s">
        <v>1039</v>
      </c>
      <c r="D217" s="0" t="s">
        <v>956</v>
      </c>
      <c r="E217" s="0" t="s">
        <v>311</v>
      </c>
      <c r="F217" s="24" t="n">
        <v>0.6875</v>
      </c>
      <c r="G217" s="0" t="s">
        <v>564</v>
      </c>
      <c r="H217" s="0" t="n">
        <v>22</v>
      </c>
      <c r="I217" s="0" t="s">
        <v>17</v>
      </c>
      <c r="J217" s="0" t="s">
        <v>290</v>
      </c>
    </row>
    <row r="218" customFormat="false" ht="12.5" hidden="false" customHeight="false" outlineLevel="0" collapsed="false">
      <c r="A218" s="5" t="n">
        <v>46097</v>
      </c>
      <c r="B218" s="0" t="s">
        <v>940</v>
      </c>
      <c r="C218" s="0" t="s">
        <v>1041</v>
      </c>
      <c r="D218" s="0" t="s">
        <v>956</v>
      </c>
      <c r="E218" s="0" t="s">
        <v>311</v>
      </c>
      <c r="F218" s="24" t="n">
        <v>0.375</v>
      </c>
      <c r="G218" s="0" t="s">
        <v>1047</v>
      </c>
      <c r="H218" s="0" t="n">
        <v>22</v>
      </c>
      <c r="I218" s="0" t="s">
        <v>17</v>
      </c>
      <c r="J218" s="0" t="s">
        <v>290</v>
      </c>
    </row>
    <row r="219" customFormat="false" ht="12.5" hidden="false" customHeight="false" outlineLevel="0" collapsed="false">
      <c r="A219" s="5" t="n">
        <v>46097</v>
      </c>
      <c r="B219" s="0" t="s">
        <v>1045</v>
      </c>
      <c r="C219" s="0" t="s">
        <v>916</v>
      </c>
      <c r="D219" s="0" t="s">
        <v>956</v>
      </c>
      <c r="E219" s="0" t="s">
        <v>311</v>
      </c>
      <c r="F219" s="24" t="n">
        <v>0.375</v>
      </c>
      <c r="G219" s="0" t="s">
        <v>1046</v>
      </c>
      <c r="H219" s="0" t="n">
        <v>22</v>
      </c>
      <c r="I219" s="0" t="s">
        <v>17</v>
      </c>
      <c r="J219" s="0" t="s">
        <v>290</v>
      </c>
    </row>
    <row r="220" customFormat="false" ht="12.5" hidden="false" customHeight="false" outlineLevel="0" collapsed="false">
      <c r="A220" s="5" t="n">
        <v>46097</v>
      </c>
      <c r="B220" s="0" t="s">
        <v>1043</v>
      </c>
      <c r="C220" s="0" t="s">
        <v>1036</v>
      </c>
      <c r="D220" s="0" t="s">
        <v>956</v>
      </c>
      <c r="E220" s="0" t="s">
        <v>311</v>
      </c>
      <c r="F220" s="24" t="n">
        <v>0.416666666666667</v>
      </c>
      <c r="G220" s="0" t="s">
        <v>1044</v>
      </c>
      <c r="H220" s="0" t="n">
        <v>22</v>
      </c>
      <c r="I220" s="0" t="s">
        <v>17</v>
      </c>
      <c r="J220" s="0" t="s">
        <v>290</v>
      </c>
    </row>
    <row r="221" customFormat="false" ht="12.5" hidden="false" customHeight="false" outlineLevel="0" collapsed="false">
      <c r="A221" s="5" t="n">
        <v>46097</v>
      </c>
      <c r="B221" s="0" t="s">
        <v>536</v>
      </c>
      <c r="C221" s="0" t="s">
        <v>527</v>
      </c>
      <c r="D221" s="0" t="s">
        <v>956</v>
      </c>
      <c r="E221" s="0" t="s">
        <v>311</v>
      </c>
      <c r="F221" s="24" t="n">
        <v>0.4375</v>
      </c>
      <c r="G221" s="0" t="s">
        <v>928</v>
      </c>
      <c r="H221" s="0" t="n">
        <v>22</v>
      </c>
      <c r="I221" s="0" t="s">
        <v>17</v>
      </c>
      <c r="J221" s="0" t="s">
        <v>290</v>
      </c>
    </row>
    <row r="222" customFormat="false" ht="12.5" hidden="false" customHeight="false" outlineLevel="0" collapsed="false">
      <c r="A222" s="5" t="n">
        <v>46103</v>
      </c>
      <c r="B222" s="0" t="s">
        <v>1043</v>
      </c>
      <c r="C222" s="0" t="s">
        <v>916</v>
      </c>
      <c r="D222" s="0" t="s">
        <v>956</v>
      </c>
      <c r="E222" s="0" t="s">
        <v>311</v>
      </c>
      <c r="F222" s="24" t="n">
        <v>0.416666666666667</v>
      </c>
      <c r="G222" s="0" t="s">
        <v>1044</v>
      </c>
      <c r="H222" s="0" t="n">
        <v>23</v>
      </c>
      <c r="I222" s="0" t="s">
        <v>17</v>
      </c>
      <c r="J222" s="0" t="s">
        <v>290</v>
      </c>
    </row>
    <row r="223" customFormat="false" ht="12.5" hidden="false" customHeight="false" outlineLevel="0" collapsed="false">
      <c r="A223" s="5" t="n">
        <v>46103</v>
      </c>
      <c r="B223" s="0" t="s">
        <v>536</v>
      </c>
      <c r="C223" s="0" t="s">
        <v>1039</v>
      </c>
      <c r="D223" s="0" t="s">
        <v>956</v>
      </c>
      <c r="E223" s="0" t="s">
        <v>311</v>
      </c>
      <c r="F223" s="24" t="n">
        <v>0.4375</v>
      </c>
      <c r="G223" s="0" t="s">
        <v>928</v>
      </c>
      <c r="H223" s="0" t="n">
        <v>23</v>
      </c>
      <c r="I223" s="0" t="s">
        <v>17</v>
      </c>
      <c r="J223" s="0" t="s">
        <v>290</v>
      </c>
    </row>
    <row r="224" customFormat="false" ht="12.5" hidden="false" customHeight="false" outlineLevel="0" collapsed="false">
      <c r="A224" s="5" t="n">
        <v>46104</v>
      </c>
      <c r="B224" s="0" t="s">
        <v>940</v>
      </c>
      <c r="C224" s="0" t="s">
        <v>1041</v>
      </c>
      <c r="D224" s="0" t="s">
        <v>956</v>
      </c>
      <c r="E224" s="0" t="s">
        <v>311</v>
      </c>
      <c r="F224" s="24" t="n">
        <v>0.375</v>
      </c>
      <c r="G224" s="0" t="s">
        <v>1047</v>
      </c>
      <c r="H224" s="0" t="n">
        <v>23</v>
      </c>
      <c r="I224" s="0" t="s">
        <v>17</v>
      </c>
      <c r="J224" s="0" t="s">
        <v>290</v>
      </c>
    </row>
    <row r="225" customFormat="false" ht="12.5" hidden="false" customHeight="false" outlineLevel="0" collapsed="false">
      <c r="A225" s="5" t="n">
        <v>46104</v>
      </c>
      <c r="B225" s="0" t="s">
        <v>1037</v>
      </c>
      <c r="C225" s="0" t="s">
        <v>1045</v>
      </c>
      <c r="D225" s="0" t="s">
        <v>956</v>
      </c>
      <c r="E225" s="0" t="s">
        <v>311</v>
      </c>
      <c r="F225" s="24" t="n">
        <v>0.4375</v>
      </c>
      <c r="G225" s="0" t="s">
        <v>564</v>
      </c>
      <c r="H225" s="0" t="n">
        <v>23</v>
      </c>
      <c r="I225" s="0" t="s">
        <v>17</v>
      </c>
      <c r="J225" s="0" t="s">
        <v>290</v>
      </c>
    </row>
    <row r="226" customFormat="false" ht="12.5" hidden="false" customHeight="false" outlineLevel="0" collapsed="false">
      <c r="A226" s="5" t="n">
        <v>46104</v>
      </c>
      <c r="B226" s="0" t="s">
        <v>530</v>
      </c>
      <c r="C226" s="0" t="s">
        <v>1036</v>
      </c>
      <c r="D226" s="0" t="s">
        <v>956</v>
      </c>
      <c r="E226" s="0" t="s">
        <v>311</v>
      </c>
      <c r="F226" s="24" t="n">
        <v>0.375</v>
      </c>
      <c r="G226" s="0" t="s">
        <v>1038</v>
      </c>
      <c r="H226" s="0" t="n">
        <v>23</v>
      </c>
      <c r="I226" s="0" t="s">
        <v>17</v>
      </c>
      <c r="J226" s="0" t="s">
        <v>290</v>
      </c>
    </row>
    <row r="227" customFormat="false" ht="12.5" hidden="false" customHeight="false" outlineLevel="0" collapsed="false">
      <c r="A227" s="5" t="n">
        <v>46109</v>
      </c>
      <c r="B227" s="0" t="s">
        <v>1036</v>
      </c>
      <c r="C227" s="0" t="s">
        <v>527</v>
      </c>
      <c r="D227" s="0" t="s">
        <v>956</v>
      </c>
      <c r="E227" s="0" t="s">
        <v>311</v>
      </c>
      <c r="F227" s="24" t="n">
        <v>0.604166666666667</v>
      </c>
      <c r="G227" s="0" t="s">
        <v>938</v>
      </c>
      <c r="H227" s="0" t="n">
        <v>24</v>
      </c>
      <c r="I227" s="0" t="s">
        <v>17</v>
      </c>
      <c r="J227" s="0" t="s">
        <v>290</v>
      </c>
    </row>
    <row r="228" customFormat="false" ht="12.5" hidden="false" customHeight="false" outlineLevel="0" collapsed="false">
      <c r="A228" s="5" t="n">
        <v>46109</v>
      </c>
      <c r="B228" s="0" t="s">
        <v>1037</v>
      </c>
      <c r="C228" s="0" t="s">
        <v>916</v>
      </c>
      <c r="D228" s="0" t="s">
        <v>956</v>
      </c>
      <c r="E228" s="0" t="s">
        <v>311</v>
      </c>
      <c r="F228" s="24" t="n">
        <v>0.6875</v>
      </c>
      <c r="G228" s="0" t="s">
        <v>564</v>
      </c>
      <c r="H228" s="0" t="n">
        <v>24</v>
      </c>
      <c r="I228" s="0" t="s">
        <v>17</v>
      </c>
      <c r="J228" s="0" t="s">
        <v>290</v>
      </c>
    </row>
    <row r="229" customFormat="false" ht="12.5" hidden="false" customHeight="false" outlineLevel="0" collapsed="false">
      <c r="A229" s="5" t="n">
        <v>46110</v>
      </c>
      <c r="B229" s="0" t="s">
        <v>1041</v>
      </c>
      <c r="C229" s="0" t="s">
        <v>536</v>
      </c>
      <c r="D229" s="0" t="s">
        <v>956</v>
      </c>
      <c r="E229" s="0" t="s">
        <v>311</v>
      </c>
      <c r="F229" s="24" t="n">
        <v>0.385416666666667</v>
      </c>
      <c r="G229" s="0" t="s">
        <v>1042</v>
      </c>
      <c r="H229" s="0" t="n">
        <v>24</v>
      </c>
      <c r="I229" s="0" t="s">
        <v>17</v>
      </c>
      <c r="J229" s="0" t="s">
        <v>290</v>
      </c>
    </row>
    <row r="230" customFormat="false" ht="12.5" hidden="false" customHeight="false" outlineLevel="0" collapsed="false">
      <c r="A230" s="5" t="n">
        <v>46110</v>
      </c>
      <c r="B230" s="0" t="s">
        <v>1043</v>
      </c>
      <c r="C230" s="0" t="s">
        <v>1045</v>
      </c>
      <c r="D230" s="0" t="s">
        <v>956</v>
      </c>
      <c r="E230" s="0" t="s">
        <v>311</v>
      </c>
      <c r="F230" s="24" t="n">
        <v>0.416666666666667</v>
      </c>
      <c r="G230" s="0" t="s">
        <v>1044</v>
      </c>
      <c r="H230" s="0" t="n">
        <v>24</v>
      </c>
      <c r="I230" s="0" t="s">
        <v>17</v>
      </c>
      <c r="J230" s="0" t="s">
        <v>290</v>
      </c>
    </row>
    <row r="231" customFormat="false" ht="12.5" hidden="false" customHeight="false" outlineLevel="0" collapsed="false">
      <c r="A231" s="5" t="n">
        <v>46123</v>
      </c>
      <c r="B231" s="0" t="s">
        <v>916</v>
      </c>
      <c r="C231" s="0" t="s">
        <v>1045</v>
      </c>
      <c r="D231" s="0" t="s">
        <v>956</v>
      </c>
      <c r="E231" s="0" t="s">
        <v>311</v>
      </c>
      <c r="F231" s="24" t="n">
        <v>0.625</v>
      </c>
      <c r="G231" s="0" t="s">
        <v>931</v>
      </c>
      <c r="H231" s="0" t="n">
        <v>25</v>
      </c>
      <c r="I231" s="0" t="s">
        <v>17</v>
      </c>
      <c r="J231" s="0" t="s">
        <v>290</v>
      </c>
    </row>
    <row r="232" customFormat="false" ht="12.5" hidden="false" customHeight="false" outlineLevel="0" collapsed="false">
      <c r="A232" s="5" t="n">
        <v>46123</v>
      </c>
      <c r="B232" s="0" t="s">
        <v>1037</v>
      </c>
      <c r="C232" s="0" t="s">
        <v>1036</v>
      </c>
      <c r="D232" s="0" t="s">
        <v>956</v>
      </c>
      <c r="E232" s="0" t="s">
        <v>311</v>
      </c>
      <c r="F232" s="24" t="n">
        <v>0.6875</v>
      </c>
      <c r="G232" s="0" t="s">
        <v>564</v>
      </c>
      <c r="H232" s="0" t="n">
        <v>25</v>
      </c>
      <c r="I232" s="0" t="s">
        <v>17</v>
      </c>
      <c r="J232" s="0" t="s">
        <v>290</v>
      </c>
    </row>
    <row r="233" customFormat="false" ht="12.5" hidden="false" customHeight="false" outlineLevel="0" collapsed="false">
      <c r="A233" s="5" t="n">
        <v>46124</v>
      </c>
      <c r="B233" s="0" t="s">
        <v>940</v>
      </c>
      <c r="C233" s="0" t="s">
        <v>1039</v>
      </c>
      <c r="D233" s="0" t="s">
        <v>956</v>
      </c>
      <c r="E233" s="0" t="s">
        <v>311</v>
      </c>
      <c r="F233" s="24" t="n">
        <v>0.375</v>
      </c>
      <c r="G233" s="0" t="s">
        <v>1047</v>
      </c>
      <c r="H233" s="0" t="n">
        <v>25</v>
      </c>
      <c r="I233" s="0" t="s">
        <v>17</v>
      </c>
      <c r="J233" s="0" t="s">
        <v>290</v>
      </c>
    </row>
    <row r="234" customFormat="false" ht="12.5" hidden="false" customHeight="false" outlineLevel="0" collapsed="false">
      <c r="A234" s="5" t="n">
        <v>46124</v>
      </c>
      <c r="B234" s="0" t="s">
        <v>527</v>
      </c>
      <c r="C234" s="0" t="s">
        <v>530</v>
      </c>
      <c r="D234" s="0" t="s">
        <v>956</v>
      </c>
      <c r="E234" s="0" t="s">
        <v>311</v>
      </c>
      <c r="F234" s="24" t="n">
        <v>0.416666666666667</v>
      </c>
      <c r="G234" s="0" t="s">
        <v>1048</v>
      </c>
      <c r="H234" s="0" t="n">
        <v>25</v>
      </c>
      <c r="I234" s="0" t="s">
        <v>17</v>
      </c>
      <c r="J234" s="0" t="s">
        <v>290</v>
      </c>
    </row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C1" activeCellId="0" sqref="C1"/>
    </sheetView>
  </sheetViews>
  <sheetFormatPr defaultColWidth="11.625" defaultRowHeight="12.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9.44"/>
    <col collapsed="false" customWidth="true" hidden="false" outlineLevel="0" max="3" min="3" style="0" width="26.82"/>
    <col collapsed="false" customWidth="true" hidden="false" outlineLevel="0" max="4" min="4" style="0" width="29.44"/>
    <col collapsed="false" customWidth="true" hidden="false" outlineLevel="0" max="5" min="5" style="0" width="10.18"/>
    <col collapsed="false" customWidth="true" hidden="false" outlineLevel="0" max="6" min="6" style="0" width="20.27"/>
    <col collapsed="false" customWidth="true" hidden="false" outlineLevel="0" max="7" min="7" style="0" width="34.54"/>
    <col collapsed="false" customWidth="true" hidden="false" outlineLevel="0" max="13" min="13" style="0" width="22.1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4" t="s">
        <v>5</v>
      </c>
      <c r="G1" s="0" t="s">
        <v>6</v>
      </c>
      <c r="H1" s="0" t="s">
        <v>7</v>
      </c>
      <c r="I1" s="0" t="s">
        <v>8</v>
      </c>
      <c r="J1" s="0" t="s">
        <v>9</v>
      </c>
      <c r="M1" s="0" t="s">
        <v>547</v>
      </c>
      <c r="N1" s="0" t="s">
        <v>548</v>
      </c>
      <c r="O1" s="0" t="s">
        <v>549</v>
      </c>
      <c r="P1" s="0" t="s">
        <v>550</v>
      </c>
    </row>
    <row r="2" customFormat="false" ht="12.5" hidden="false" customHeight="false" outlineLevel="0" collapsed="false">
      <c r="A2" s="5" t="n">
        <v>45934</v>
      </c>
      <c r="B2" s="0" t="s">
        <v>377</v>
      </c>
      <c r="C2" s="0" t="s">
        <v>735</v>
      </c>
      <c r="D2" s="0" t="s">
        <v>774</v>
      </c>
      <c r="E2" s="0" t="s">
        <v>364</v>
      </c>
      <c r="F2" s="10" t="str">
        <f aca="false">VLOOKUP(B2,M:O,3,0)</f>
        <v>11:00</v>
      </c>
      <c r="G2" s="10" t="str">
        <f aca="false">VLOOKUP(B2,M:P,4,0)</f>
        <v>BRUSAPORTO VIA BELVEDERE 1</v>
      </c>
      <c r="H2" s="0" t="n">
        <v>1</v>
      </c>
      <c r="I2" s="0" t="s">
        <v>17</v>
      </c>
      <c r="J2" s="0" t="s">
        <v>290</v>
      </c>
      <c r="M2" s="0" t="s">
        <v>735</v>
      </c>
      <c r="N2" s="0" t="s">
        <v>364</v>
      </c>
      <c r="O2" s="1" t="s">
        <v>25</v>
      </c>
      <c r="P2" s="0" t="s">
        <v>825</v>
      </c>
    </row>
    <row r="3" customFormat="false" ht="12.5" hidden="false" customHeight="false" outlineLevel="0" collapsed="false">
      <c r="A3" s="5" t="n">
        <v>45934</v>
      </c>
      <c r="B3" s="0" t="s">
        <v>730</v>
      </c>
      <c r="C3" s="0" t="s">
        <v>351</v>
      </c>
      <c r="D3" s="0" t="s">
        <v>774</v>
      </c>
      <c r="E3" s="0" t="s">
        <v>364</v>
      </c>
      <c r="F3" s="10" t="str">
        <f aca="false">VLOOKUP(B3,M:O,3,0)</f>
        <v>10:00</v>
      </c>
      <c r="G3" s="10" t="str">
        <f aca="false">VLOOKUP(B3,M:P,4,0)</f>
        <v>SOVERE VIA CANNETO 4</v>
      </c>
      <c r="H3" s="0" t="n">
        <v>1</v>
      </c>
      <c r="I3" s="0" t="s">
        <v>17</v>
      </c>
      <c r="J3" s="0" t="s">
        <v>290</v>
      </c>
      <c r="M3" s="0" t="s">
        <v>351</v>
      </c>
      <c r="N3" s="0" t="s">
        <v>364</v>
      </c>
      <c r="O3" s="1" t="s">
        <v>356</v>
      </c>
      <c r="P3" s="0" t="s">
        <v>509</v>
      </c>
    </row>
    <row r="4" customFormat="false" ht="12.5" hidden="false" customHeight="false" outlineLevel="0" collapsed="false">
      <c r="A4" s="5" t="n">
        <v>45934</v>
      </c>
      <c r="B4" s="0" t="s">
        <v>350</v>
      </c>
      <c r="C4" s="0" t="s">
        <v>1049</v>
      </c>
      <c r="D4" s="0" t="s">
        <v>774</v>
      </c>
      <c r="E4" s="0" t="s">
        <v>364</v>
      </c>
      <c r="F4" s="10" t="str">
        <f aca="false">VLOOKUP(B4,M:O,3,0)</f>
        <v>14:00</v>
      </c>
      <c r="G4" s="10" t="str">
        <f aca="false">VLOOKUP(B4,M:P,4,0)</f>
        <v>SERIATE VIA PO 25</v>
      </c>
      <c r="H4" s="0" t="n">
        <v>1</v>
      </c>
      <c r="I4" s="0" t="s">
        <v>17</v>
      </c>
      <c r="J4" s="0" t="s">
        <v>290</v>
      </c>
      <c r="M4" s="0" t="s">
        <v>1049</v>
      </c>
      <c r="N4" s="0" t="s">
        <v>364</v>
      </c>
      <c r="O4" s="1" t="s">
        <v>1050</v>
      </c>
      <c r="P4" s="0" t="s">
        <v>1051</v>
      </c>
    </row>
    <row r="5" customFormat="false" ht="12.5" hidden="false" customHeight="false" outlineLevel="0" collapsed="false">
      <c r="A5" s="5" t="n">
        <v>45934</v>
      </c>
      <c r="B5" s="0" t="s">
        <v>1052</v>
      </c>
      <c r="C5" s="0" t="s">
        <v>1053</v>
      </c>
      <c r="D5" s="0" t="s">
        <v>774</v>
      </c>
      <c r="E5" s="0" t="s">
        <v>364</v>
      </c>
      <c r="F5" s="10" t="str">
        <f aca="false">VLOOKUP(B5,M:O,3,0)</f>
        <v>14:30</v>
      </c>
      <c r="G5" s="10" t="str">
        <f aca="false">VLOOKUP(B5,M:P,4,0)</f>
        <v>BOOM</v>
      </c>
      <c r="H5" s="0" t="n">
        <v>1</v>
      </c>
      <c r="I5" s="0" t="s">
        <v>17</v>
      </c>
      <c r="J5" s="0" t="s">
        <v>290</v>
      </c>
      <c r="M5" s="0" t="s">
        <v>1053</v>
      </c>
      <c r="N5" s="0" t="s">
        <v>364</v>
      </c>
      <c r="O5" s="1" t="s">
        <v>1050</v>
      </c>
      <c r="P5" s="0" t="s">
        <v>1051</v>
      </c>
    </row>
    <row r="6" customFormat="false" ht="12.5" hidden="false" customHeight="false" outlineLevel="0" collapsed="false">
      <c r="A6" s="5" t="n">
        <v>45941</v>
      </c>
      <c r="B6" s="0" t="s">
        <v>1053</v>
      </c>
      <c r="C6" s="0" t="s">
        <v>350</v>
      </c>
      <c r="D6" s="0" t="s">
        <v>774</v>
      </c>
      <c r="E6" s="0" t="s">
        <v>364</v>
      </c>
      <c r="F6" s="10" t="str">
        <f aca="false">VLOOKUP(B6,M:O,3,0)</f>
        <v>18:00</v>
      </c>
      <c r="G6" s="10" t="str">
        <f aca="false">VLOOKUP(B6,M:P,4,0)</f>
        <v>LOVERE VIA PAGLIA 41</v>
      </c>
      <c r="H6" s="0" t="n">
        <v>2</v>
      </c>
      <c r="I6" s="0" t="s">
        <v>17</v>
      </c>
      <c r="J6" s="0" t="s">
        <v>290</v>
      </c>
      <c r="M6" s="0" t="s">
        <v>350</v>
      </c>
      <c r="N6" s="0" t="s">
        <v>364</v>
      </c>
      <c r="O6" s="1" t="s">
        <v>430</v>
      </c>
      <c r="P6" s="0" t="s">
        <v>812</v>
      </c>
    </row>
    <row r="7" customFormat="false" ht="12.5" hidden="false" customHeight="false" outlineLevel="0" collapsed="false">
      <c r="A7" s="5" t="n">
        <v>45941</v>
      </c>
      <c r="B7" s="0" t="s">
        <v>1049</v>
      </c>
      <c r="C7" s="0" t="s">
        <v>377</v>
      </c>
      <c r="D7" s="0" t="s">
        <v>774</v>
      </c>
      <c r="E7" s="0" t="s">
        <v>364</v>
      </c>
      <c r="F7" s="10" t="str">
        <f aca="false">VLOOKUP(B7,M:O,3,0)</f>
        <v>18:00</v>
      </c>
      <c r="G7" s="10" t="str">
        <f aca="false">VLOOKUP(B7,M:P,4,0)</f>
        <v>LOVERE VIA PAGLIA 41</v>
      </c>
      <c r="H7" s="0" t="n">
        <v>2</v>
      </c>
      <c r="I7" s="0" t="s">
        <v>17</v>
      </c>
      <c r="J7" s="0" t="s">
        <v>290</v>
      </c>
      <c r="M7" s="0" t="s">
        <v>377</v>
      </c>
      <c r="N7" s="0" t="s">
        <v>364</v>
      </c>
      <c r="O7" s="1" t="s">
        <v>1054</v>
      </c>
      <c r="P7" s="0" t="s">
        <v>813</v>
      </c>
    </row>
    <row r="8" customFormat="false" ht="12.5" hidden="false" customHeight="false" outlineLevel="0" collapsed="false">
      <c r="A8" s="5" t="n">
        <v>45941</v>
      </c>
      <c r="B8" s="0" t="s">
        <v>351</v>
      </c>
      <c r="C8" s="0" t="s">
        <v>1052</v>
      </c>
      <c r="D8" s="0" t="s">
        <v>774</v>
      </c>
      <c r="E8" s="0" t="s">
        <v>364</v>
      </c>
      <c r="F8" s="10" t="str">
        <f aca="false">VLOOKUP(B8,M:O,3,0)</f>
        <v>17:30</v>
      </c>
      <c r="G8" s="10" t="str">
        <f aca="false">VLOOKUP(B8,M:P,4,0)</f>
        <v>SARNICO VIA OLIMPIA 4</v>
      </c>
      <c r="H8" s="0" t="n">
        <v>2</v>
      </c>
      <c r="I8" s="0" t="s">
        <v>17</v>
      </c>
      <c r="J8" s="0" t="s">
        <v>290</v>
      </c>
      <c r="M8" s="0" t="s">
        <v>1052</v>
      </c>
      <c r="N8" s="0" t="s">
        <v>364</v>
      </c>
      <c r="O8" s="1" t="s">
        <v>31</v>
      </c>
      <c r="P8" s="0" t="s">
        <v>1055</v>
      </c>
    </row>
    <row r="9" customFormat="false" ht="12.5" hidden="false" customHeight="false" outlineLevel="0" collapsed="false">
      <c r="A9" s="5" t="n">
        <v>45941</v>
      </c>
      <c r="B9" s="0" t="s">
        <v>689</v>
      </c>
      <c r="C9" s="0" t="s">
        <v>730</v>
      </c>
      <c r="D9" s="0" t="s">
        <v>774</v>
      </c>
      <c r="E9" s="0" t="s">
        <v>364</v>
      </c>
      <c r="F9" s="10" t="str">
        <f aca="false">VLOOKUP(B9,M:O,3,0)</f>
        <v>14:30</v>
      </c>
      <c r="G9" s="10" t="str">
        <f aca="false">VLOOKUP(B9,M:P,4,0)</f>
        <v>CASAZZA PIAZZA PIEVE 4</v>
      </c>
      <c r="H9" s="0" t="n">
        <v>2</v>
      </c>
      <c r="I9" s="0" t="s">
        <v>17</v>
      </c>
      <c r="J9" s="0" t="s">
        <v>290</v>
      </c>
      <c r="M9" s="0" t="s">
        <v>730</v>
      </c>
      <c r="N9" s="0" t="s">
        <v>364</v>
      </c>
      <c r="O9" s="1" t="s">
        <v>1056</v>
      </c>
      <c r="P9" s="0" t="s">
        <v>846</v>
      </c>
    </row>
    <row r="10" customFormat="false" ht="12.5" hidden="false" customHeight="false" outlineLevel="0" collapsed="false">
      <c r="A10" s="5" t="n">
        <v>45948</v>
      </c>
      <c r="B10" s="0" t="s">
        <v>730</v>
      </c>
      <c r="C10" s="0" t="s">
        <v>735</v>
      </c>
      <c r="D10" s="0" t="s">
        <v>774</v>
      </c>
      <c r="E10" s="0" t="s">
        <v>364</v>
      </c>
      <c r="F10" s="10" t="str">
        <f aca="false">VLOOKUP(B10,M:O,3,0)</f>
        <v>10:00</v>
      </c>
      <c r="G10" s="10" t="str">
        <f aca="false">VLOOKUP(B10,M:P,4,0)</f>
        <v>SOVERE VIA CANNETO 4</v>
      </c>
      <c r="I10" s="0" t="s">
        <v>17</v>
      </c>
      <c r="J10" s="0" t="s">
        <v>290</v>
      </c>
      <c r="M10" s="0" t="s">
        <v>689</v>
      </c>
      <c r="N10" s="0" t="s">
        <v>364</v>
      </c>
      <c r="O10" s="1" t="s">
        <v>31</v>
      </c>
      <c r="P10" s="0" t="s">
        <v>849</v>
      </c>
    </row>
    <row r="11" customFormat="false" ht="12.5" hidden="false" customHeight="false" outlineLevel="0" collapsed="false">
      <c r="A11" s="5" t="n">
        <v>45948</v>
      </c>
      <c r="B11" s="0" t="s">
        <v>350</v>
      </c>
      <c r="C11" s="0" t="s">
        <v>1052</v>
      </c>
      <c r="D11" s="0" t="s">
        <v>774</v>
      </c>
      <c r="E11" s="0" t="s">
        <v>364</v>
      </c>
      <c r="F11" s="10" t="str">
        <f aca="false">VLOOKUP(B11,M:O,3,0)</f>
        <v>14:00</v>
      </c>
      <c r="G11" s="10" t="str">
        <f aca="false">VLOOKUP(B11,M:P,4,0)</f>
        <v>SERIATE VIA PO 25</v>
      </c>
      <c r="I11" s="0" t="s">
        <v>17</v>
      </c>
      <c r="J11" s="0" t="s">
        <v>290</v>
      </c>
    </row>
    <row r="12" customFormat="false" ht="12.5" hidden="false" customHeight="false" outlineLevel="0" collapsed="false">
      <c r="A12" s="5" t="n">
        <v>45948</v>
      </c>
      <c r="B12" s="0" t="s">
        <v>351</v>
      </c>
      <c r="C12" s="0" t="s">
        <v>689</v>
      </c>
      <c r="D12" s="0" t="s">
        <v>774</v>
      </c>
      <c r="E12" s="0" t="s">
        <v>364</v>
      </c>
      <c r="F12" s="10" t="str">
        <f aca="false">VLOOKUP(B12,M:O,3,0)</f>
        <v>17:30</v>
      </c>
      <c r="G12" s="10" t="str">
        <f aca="false">VLOOKUP(B12,M:P,4,0)</f>
        <v>SARNICO VIA OLIMPIA 4</v>
      </c>
      <c r="I12" s="0" t="s">
        <v>17</v>
      </c>
      <c r="J12" s="0" t="s">
        <v>290</v>
      </c>
    </row>
    <row r="13" customFormat="false" ht="12.5" hidden="false" customHeight="false" outlineLevel="0" collapsed="false">
      <c r="A13" s="5" t="n">
        <v>45948</v>
      </c>
      <c r="B13" s="0" t="s">
        <v>377</v>
      </c>
      <c r="C13" s="0" t="s">
        <v>1053</v>
      </c>
      <c r="D13" s="0" t="s">
        <v>774</v>
      </c>
      <c r="E13" s="0" t="s">
        <v>364</v>
      </c>
      <c r="F13" s="10" t="str">
        <f aca="false">VLOOKUP(B13,M:O,3,0)</f>
        <v>11:00</v>
      </c>
      <c r="G13" s="10" t="str">
        <f aca="false">VLOOKUP(B13,M:P,4,0)</f>
        <v>BRUSAPORTO VIA BELVEDERE 1</v>
      </c>
      <c r="I13" s="0" t="s">
        <v>17</v>
      </c>
      <c r="J13" s="0" t="s">
        <v>290</v>
      </c>
    </row>
    <row r="14" customFormat="false" ht="12.5" hidden="false" customHeight="false" outlineLevel="0" collapsed="false">
      <c r="A14" s="5" t="n">
        <v>45955</v>
      </c>
      <c r="B14" s="0" t="s">
        <v>350</v>
      </c>
      <c r="C14" s="0" t="s">
        <v>377</v>
      </c>
      <c r="D14" s="0" t="s">
        <v>774</v>
      </c>
      <c r="E14" s="0" t="s">
        <v>364</v>
      </c>
      <c r="F14" s="10" t="str">
        <f aca="false">VLOOKUP(B14,M:O,3,0)</f>
        <v>14:00</v>
      </c>
      <c r="G14" s="10" t="str">
        <f aca="false">VLOOKUP(B14,M:P,4,0)</f>
        <v>SERIATE VIA PO 25</v>
      </c>
      <c r="I14" s="0" t="s">
        <v>17</v>
      </c>
      <c r="J14" s="0" t="s">
        <v>290</v>
      </c>
    </row>
    <row r="15" customFormat="false" ht="12.5" hidden="false" customHeight="false" outlineLevel="0" collapsed="false">
      <c r="A15" s="5" t="n">
        <v>45955</v>
      </c>
      <c r="B15" s="0" t="s">
        <v>1049</v>
      </c>
      <c r="C15" s="0" t="s">
        <v>730</v>
      </c>
      <c r="D15" s="0" t="s">
        <v>774</v>
      </c>
      <c r="E15" s="0" t="s">
        <v>364</v>
      </c>
      <c r="F15" s="10" t="str">
        <f aca="false">VLOOKUP(B15,M:O,3,0)</f>
        <v>18:00</v>
      </c>
      <c r="G15" s="10" t="str">
        <f aca="false">VLOOKUP(B15,M:P,4,0)</f>
        <v>LOVERE VIA PAGLIA 41</v>
      </c>
      <c r="I15" s="0" t="s">
        <v>17</v>
      </c>
      <c r="J15" s="0" t="s">
        <v>290</v>
      </c>
    </row>
    <row r="16" customFormat="false" ht="12.5" hidden="false" customHeight="false" outlineLevel="0" collapsed="false">
      <c r="A16" s="5" t="n">
        <v>45955</v>
      </c>
      <c r="B16" s="0" t="s">
        <v>1052</v>
      </c>
      <c r="C16" s="0" t="s">
        <v>689</v>
      </c>
      <c r="D16" s="0" t="s">
        <v>774</v>
      </c>
      <c r="E16" s="0" t="s">
        <v>364</v>
      </c>
      <c r="F16" s="10" t="str">
        <f aca="false">VLOOKUP(B16,M:O,3,0)</f>
        <v>14:30</v>
      </c>
      <c r="G16" s="10" t="str">
        <f aca="false">VLOOKUP(B16,M:P,4,0)</f>
        <v>BOOM</v>
      </c>
      <c r="I16" s="0" t="s">
        <v>17</v>
      </c>
      <c r="J16" s="0" t="s">
        <v>290</v>
      </c>
    </row>
    <row r="17" customFormat="false" ht="12.5" hidden="false" customHeight="false" outlineLevel="0" collapsed="false">
      <c r="A17" s="5" t="n">
        <v>45955</v>
      </c>
      <c r="B17" s="0" t="s">
        <v>735</v>
      </c>
      <c r="C17" s="0" t="s">
        <v>351</v>
      </c>
      <c r="D17" s="0" t="s">
        <v>774</v>
      </c>
      <c r="E17" s="0" t="s">
        <v>364</v>
      </c>
      <c r="F17" s="10" t="str">
        <f aca="false">VLOOKUP(B17,M:O,3,0)</f>
        <v>15:00</v>
      </c>
      <c r="G17" s="10" t="str">
        <f aca="false">VLOOKUP(B17,M:P,4,0)</f>
        <v>MONTELLO VIA L.ARIOSTO</v>
      </c>
      <c r="I17" s="0" t="s">
        <v>17</v>
      </c>
      <c r="J17" s="0" t="s">
        <v>290</v>
      </c>
    </row>
    <row r="18" customFormat="false" ht="12.5" hidden="false" customHeight="false" outlineLevel="0" collapsed="false">
      <c r="A18" s="5" t="n">
        <v>45962</v>
      </c>
      <c r="B18" s="0" t="s">
        <v>689</v>
      </c>
      <c r="C18" s="0" t="s">
        <v>735</v>
      </c>
      <c r="D18" s="0" t="s">
        <v>774</v>
      </c>
      <c r="E18" s="0" t="s">
        <v>364</v>
      </c>
      <c r="F18" s="10" t="str">
        <f aca="false">VLOOKUP(B18,M:O,3,0)</f>
        <v>14:30</v>
      </c>
      <c r="G18" s="10" t="str">
        <f aca="false">VLOOKUP(B18,M:P,4,0)</f>
        <v>CASAZZA PIAZZA PIEVE 4</v>
      </c>
      <c r="I18" s="0" t="s">
        <v>17</v>
      </c>
      <c r="J18" s="0" t="s">
        <v>290</v>
      </c>
    </row>
    <row r="19" customFormat="false" ht="12.5" hidden="false" customHeight="false" outlineLevel="0" collapsed="false">
      <c r="A19" s="5" t="n">
        <v>45962</v>
      </c>
      <c r="B19" s="0" t="s">
        <v>377</v>
      </c>
      <c r="C19" s="0" t="s">
        <v>1052</v>
      </c>
      <c r="D19" s="0" t="s">
        <v>774</v>
      </c>
      <c r="E19" s="0" t="s">
        <v>364</v>
      </c>
      <c r="F19" s="10" t="str">
        <f aca="false">VLOOKUP(B19,M:O,3,0)</f>
        <v>11:00</v>
      </c>
      <c r="G19" s="10" t="str">
        <f aca="false">VLOOKUP(B19,M:P,4,0)</f>
        <v>BRUSAPORTO VIA BELVEDERE 1</v>
      </c>
      <c r="I19" s="0" t="s">
        <v>17</v>
      </c>
      <c r="J19" s="0" t="s">
        <v>290</v>
      </c>
    </row>
    <row r="20" customFormat="false" ht="12.5" hidden="false" customHeight="false" outlineLevel="0" collapsed="false">
      <c r="A20" s="5" t="n">
        <v>45962</v>
      </c>
      <c r="B20" s="0" t="s">
        <v>351</v>
      </c>
      <c r="C20" s="0" t="s">
        <v>1049</v>
      </c>
      <c r="D20" s="0" t="s">
        <v>774</v>
      </c>
      <c r="E20" s="0" t="s">
        <v>364</v>
      </c>
      <c r="F20" s="10" t="str">
        <f aca="false">VLOOKUP(B20,M:O,3,0)</f>
        <v>17:30</v>
      </c>
      <c r="G20" s="10" t="str">
        <f aca="false">VLOOKUP(B20,M:P,4,0)</f>
        <v>SARNICO VIA OLIMPIA 4</v>
      </c>
      <c r="I20" s="0" t="s">
        <v>17</v>
      </c>
      <c r="J20" s="0" t="s">
        <v>290</v>
      </c>
    </row>
    <row r="21" customFormat="false" ht="12.5" hidden="false" customHeight="false" outlineLevel="0" collapsed="false">
      <c r="A21" s="5" t="n">
        <v>45962</v>
      </c>
      <c r="B21" s="0" t="s">
        <v>730</v>
      </c>
      <c r="C21" s="0" t="s">
        <v>1053</v>
      </c>
      <c r="D21" s="0" t="s">
        <v>774</v>
      </c>
      <c r="E21" s="0" t="s">
        <v>364</v>
      </c>
      <c r="F21" s="10" t="str">
        <f aca="false">VLOOKUP(B21,M:O,3,0)</f>
        <v>10:00</v>
      </c>
      <c r="G21" s="10" t="str">
        <f aca="false">VLOOKUP(B21,M:P,4,0)</f>
        <v>SOVERE VIA CANNETO 4</v>
      </c>
      <c r="I21" s="0" t="s">
        <v>17</v>
      </c>
      <c r="J21" s="0" t="s">
        <v>290</v>
      </c>
    </row>
    <row r="22" customFormat="false" ht="12.5" hidden="false" customHeight="false" outlineLevel="0" collapsed="false">
      <c r="A22" s="5" t="n">
        <v>45969</v>
      </c>
      <c r="B22" s="0" t="s">
        <v>1052</v>
      </c>
      <c r="C22" s="0" t="s">
        <v>735</v>
      </c>
      <c r="D22" s="0" t="s">
        <v>774</v>
      </c>
      <c r="E22" s="0" t="s">
        <v>364</v>
      </c>
      <c r="F22" s="10" t="str">
        <f aca="false">VLOOKUP(B22,M:O,3,0)</f>
        <v>14:30</v>
      </c>
      <c r="G22" s="10" t="str">
        <f aca="false">VLOOKUP(B22,M:P,4,0)</f>
        <v>BOOM</v>
      </c>
      <c r="I22" s="0" t="s">
        <v>17</v>
      </c>
      <c r="J22" s="0" t="s">
        <v>290</v>
      </c>
    </row>
    <row r="23" customFormat="false" ht="12.5" hidden="false" customHeight="false" outlineLevel="0" collapsed="false">
      <c r="A23" s="5" t="n">
        <v>45969</v>
      </c>
      <c r="B23" s="0" t="s">
        <v>350</v>
      </c>
      <c r="C23" s="0" t="s">
        <v>730</v>
      </c>
      <c r="D23" s="0" t="s">
        <v>774</v>
      </c>
      <c r="E23" s="0" t="s">
        <v>364</v>
      </c>
      <c r="F23" s="10" t="str">
        <f aca="false">VLOOKUP(B23,M:O,3,0)</f>
        <v>14:00</v>
      </c>
      <c r="G23" s="10" t="str">
        <f aca="false">VLOOKUP(B23,M:P,4,0)</f>
        <v>SERIATE VIA PO 25</v>
      </c>
      <c r="I23" s="0" t="s">
        <v>17</v>
      </c>
      <c r="J23" s="0" t="s">
        <v>290</v>
      </c>
    </row>
    <row r="24" customFormat="false" ht="12.5" hidden="false" customHeight="false" outlineLevel="0" collapsed="false">
      <c r="A24" s="5" t="n">
        <v>45969</v>
      </c>
      <c r="B24" s="0" t="s">
        <v>1049</v>
      </c>
      <c r="C24" s="0" t="s">
        <v>689</v>
      </c>
      <c r="D24" s="0" t="s">
        <v>774</v>
      </c>
      <c r="E24" s="0" t="s">
        <v>364</v>
      </c>
      <c r="F24" s="10" t="str">
        <f aca="false">VLOOKUP(B24,M:O,3,0)</f>
        <v>18:00</v>
      </c>
      <c r="G24" s="10" t="str">
        <f aca="false">VLOOKUP(B24,M:P,4,0)</f>
        <v>LOVERE VIA PAGLIA 41</v>
      </c>
      <c r="I24" s="0" t="s">
        <v>17</v>
      </c>
      <c r="J24" s="0" t="s">
        <v>290</v>
      </c>
    </row>
    <row r="25" customFormat="false" ht="12.5" hidden="false" customHeight="false" outlineLevel="0" collapsed="false">
      <c r="A25" s="5" t="n">
        <v>45969</v>
      </c>
      <c r="B25" s="0" t="s">
        <v>1053</v>
      </c>
      <c r="C25" s="0" t="s">
        <v>351</v>
      </c>
      <c r="D25" s="0" t="s">
        <v>774</v>
      </c>
      <c r="E25" s="0" t="s">
        <v>364</v>
      </c>
      <c r="F25" s="10" t="str">
        <f aca="false">VLOOKUP(B25,M:O,3,0)</f>
        <v>18:00</v>
      </c>
      <c r="G25" s="10" t="str">
        <f aca="false">VLOOKUP(B25,M:P,4,0)</f>
        <v>LOVERE VIA PAGLIA 41</v>
      </c>
      <c r="I25" s="0" t="s">
        <v>17</v>
      </c>
      <c r="J25" s="0" t="s">
        <v>290</v>
      </c>
    </row>
    <row r="26" customFormat="false" ht="12.5" hidden="false" customHeight="false" outlineLevel="0" collapsed="false">
      <c r="A26" s="5" t="n">
        <v>45976</v>
      </c>
      <c r="B26" s="0" t="s">
        <v>351</v>
      </c>
      <c r="C26" s="0" t="s">
        <v>350</v>
      </c>
      <c r="D26" s="0" t="s">
        <v>774</v>
      </c>
      <c r="E26" s="0" t="s">
        <v>364</v>
      </c>
      <c r="F26" s="10" t="str">
        <f aca="false">VLOOKUP(B26,M:O,3,0)</f>
        <v>17:30</v>
      </c>
      <c r="G26" s="10" t="str">
        <f aca="false">VLOOKUP(B26,M:P,4,0)</f>
        <v>SARNICO VIA OLIMPIA 4</v>
      </c>
      <c r="I26" s="0" t="s">
        <v>17</v>
      </c>
      <c r="J26" s="0" t="s">
        <v>290</v>
      </c>
    </row>
    <row r="27" customFormat="false" ht="12.5" hidden="false" customHeight="false" outlineLevel="0" collapsed="false">
      <c r="A27" s="5" t="n">
        <v>45976</v>
      </c>
      <c r="B27" s="0" t="s">
        <v>730</v>
      </c>
      <c r="C27" s="0" t="s">
        <v>377</v>
      </c>
      <c r="D27" s="0" t="s">
        <v>774</v>
      </c>
      <c r="E27" s="0" t="s">
        <v>364</v>
      </c>
      <c r="F27" s="10" t="str">
        <f aca="false">VLOOKUP(B27,M:O,3,0)</f>
        <v>10:00</v>
      </c>
      <c r="G27" s="10" t="str">
        <f aca="false">VLOOKUP(B27,M:P,4,0)</f>
        <v>SOVERE VIA CANNETO 4</v>
      </c>
      <c r="I27" s="0" t="s">
        <v>17</v>
      </c>
      <c r="J27" s="0" t="s">
        <v>290</v>
      </c>
    </row>
    <row r="28" customFormat="false" ht="12.5" hidden="false" customHeight="false" outlineLevel="0" collapsed="false">
      <c r="A28" s="5" t="n">
        <v>45976</v>
      </c>
      <c r="B28" s="0" t="s">
        <v>735</v>
      </c>
      <c r="C28" s="0" t="s">
        <v>1049</v>
      </c>
      <c r="D28" s="0" t="s">
        <v>774</v>
      </c>
      <c r="E28" s="0" t="s">
        <v>364</v>
      </c>
      <c r="F28" s="10" t="str">
        <f aca="false">VLOOKUP(B28,M:O,3,0)</f>
        <v>15:00</v>
      </c>
      <c r="G28" s="10" t="str">
        <f aca="false">VLOOKUP(B28,M:P,4,0)</f>
        <v>MONTELLO VIA L.ARIOSTO</v>
      </c>
      <c r="I28" s="0" t="s">
        <v>17</v>
      </c>
      <c r="J28" s="0" t="s">
        <v>290</v>
      </c>
    </row>
    <row r="29" customFormat="false" ht="12.5" hidden="false" customHeight="false" outlineLevel="0" collapsed="false">
      <c r="A29" s="5" t="n">
        <v>45976</v>
      </c>
      <c r="B29" s="0" t="s">
        <v>689</v>
      </c>
      <c r="C29" s="0" t="s">
        <v>1053</v>
      </c>
      <c r="D29" s="0" t="s">
        <v>774</v>
      </c>
      <c r="E29" s="0" t="s">
        <v>364</v>
      </c>
      <c r="F29" s="10" t="str">
        <f aca="false">VLOOKUP(B29,M:O,3,0)</f>
        <v>14:30</v>
      </c>
      <c r="G29" s="10" t="str">
        <f aca="false">VLOOKUP(B29,M:P,4,0)</f>
        <v>CASAZZA PIAZZA PIEVE 4</v>
      </c>
      <c r="I29" s="0" t="s">
        <v>17</v>
      </c>
      <c r="J29" s="0" t="s">
        <v>290</v>
      </c>
    </row>
    <row r="30" customFormat="false" ht="12.5" hidden="false" customHeight="false" outlineLevel="0" collapsed="false">
      <c r="A30" s="5" t="n">
        <v>45983</v>
      </c>
      <c r="B30" s="0" t="s">
        <v>1053</v>
      </c>
      <c r="C30" s="0" t="s">
        <v>735</v>
      </c>
      <c r="D30" s="0" t="s">
        <v>774</v>
      </c>
      <c r="E30" s="0" t="s">
        <v>364</v>
      </c>
      <c r="F30" s="10" t="str">
        <f aca="false">VLOOKUP(B30,M:O,3,0)</f>
        <v>18:00</v>
      </c>
      <c r="G30" s="10" t="str">
        <f aca="false">VLOOKUP(B30,M:P,4,0)</f>
        <v>LOVERE VIA PAGLIA 41</v>
      </c>
      <c r="I30" s="0" t="s">
        <v>17</v>
      </c>
      <c r="J30" s="0" t="s">
        <v>290</v>
      </c>
    </row>
    <row r="31" customFormat="false" ht="12.5" hidden="false" customHeight="false" outlineLevel="0" collapsed="false">
      <c r="A31" s="5" t="n">
        <v>45983</v>
      </c>
      <c r="B31" s="0" t="s">
        <v>350</v>
      </c>
      <c r="C31" s="0" t="s">
        <v>689</v>
      </c>
      <c r="D31" s="0" t="s">
        <v>774</v>
      </c>
      <c r="E31" s="0" t="s">
        <v>364</v>
      </c>
      <c r="F31" s="10" t="str">
        <f aca="false">VLOOKUP(B31,M:O,3,0)</f>
        <v>14:00</v>
      </c>
      <c r="G31" s="10" t="str">
        <f aca="false">VLOOKUP(B31,M:P,4,0)</f>
        <v>SERIATE VIA PO 25</v>
      </c>
      <c r="I31" s="0" t="s">
        <v>17</v>
      </c>
      <c r="J31" s="0" t="s">
        <v>290</v>
      </c>
    </row>
    <row r="32" customFormat="false" ht="12.5" hidden="false" customHeight="false" outlineLevel="0" collapsed="false">
      <c r="A32" s="5" t="n">
        <v>45983</v>
      </c>
      <c r="B32" s="0" t="s">
        <v>377</v>
      </c>
      <c r="C32" s="0" t="s">
        <v>351</v>
      </c>
      <c r="D32" s="0" t="s">
        <v>774</v>
      </c>
      <c r="E32" s="0" t="s">
        <v>364</v>
      </c>
      <c r="F32" s="10" t="str">
        <f aca="false">VLOOKUP(B32,M:O,3,0)</f>
        <v>11:00</v>
      </c>
      <c r="G32" s="10" t="str">
        <f aca="false">VLOOKUP(B32,M:P,4,0)</f>
        <v>BRUSAPORTO VIA BELVEDERE 1</v>
      </c>
      <c r="I32" s="0" t="s">
        <v>17</v>
      </c>
      <c r="J32" s="0" t="s">
        <v>290</v>
      </c>
    </row>
    <row r="33" customFormat="false" ht="12.5" hidden="false" customHeight="false" outlineLevel="0" collapsed="false">
      <c r="A33" s="5" t="n">
        <v>45983</v>
      </c>
      <c r="B33" s="0" t="s">
        <v>1052</v>
      </c>
      <c r="C33" s="0" t="s">
        <v>1049</v>
      </c>
      <c r="D33" s="0" t="s">
        <v>774</v>
      </c>
      <c r="E33" s="0" t="s">
        <v>364</v>
      </c>
      <c r="F33" s="10" t="str">
        <f aca="false">VLOOKUP(B33,M:O,3,0)</f>
        <v>14:30</v>
      </c>
      <c r="G33" s="10" t="str">
        <f aca="false">VLOOKUP(B33,M:P,4,0)</f>
        <v>BOOM</v>
      </c>
      <c r="I33" s="0" t="s">
        <v>17</v>
      </c>
      <c r="J33" s="0" t="s">
        <v>290</v>
      </c>
    </row>
    <row r="34" customFormat="false" ht="12.5" hidden="false" customHeight="false" outlineLevel="0" collapsed="false">
      <c r="A34" s="5" t="n">
        <v>45990</v>
      </c>
      <c r="B34" s="0" t="s">
        <v>735</v>
      </c>
      <c r="C34" s="0" t="s">
        <v>350</v>
      </c>
      <c r="D34" s="0" t="s">
        <v>774</v>
      </c>
      <c r="E34" s="0" t="s">
        <v>364</v>
      </c>
      <c r="F34" s="10" t="str">
        <f aca="false">VLOOKUP(B34,M:O,3,0)</f>
        <v>15:00</v>
      </c>
      <c r="G34" s="10" t="str">
        <f aca="false">VLOOKUP(B34,M:P,4,0)</f>
        <v>MONTELLO VIA L.ARIOSTO</v>
      </c>
      <c r="I34" s="0" t="s">
        <v>17</v>
      </c>
      <c r="J34" s="0" t="s">
        <v>290</v>
      </c>
    </row>
    <row r="35" customFormat="false" ht="12.5" hidden="false" customHeight="false" outlineLevel="0" collapsed="false">
      <c r="A35" s="5" t="n">
        <v>45990</v>
      </c>
      <c r="B35" s="0" t="s">
        <v>689</v>
      </c>
      <c r="C35" s="0" t="s">
        <v>377</v>
      </c>
      <c r="D35" s="0" t="s">
        <v>774</v>
      </c>
      <c r="E35" s="0" t="s">
        <v>364</v>
      </c>
      <c r="F35" s="10" t="str">
        <f aca="false">VLOOKUP(B35,M:O,3,0)</f>
        <v>14:30</v>
      </c>
      <c r="G35" s="10" t="str">
        <f aca="false">VLOOKUP(B35,M:P,4,0)</f>
        <v>CASAZZA PIAZZA PIEVE 4</v>
      </c>
      <c r="I35" s="0" t="s">
        <v>17</v>
      </c>
      <c r="J35" s="0" t="s">
        <v>290</v>
      </c>
    </row>
    <row r="36" customFormat="false" ht="12.5" hidden="false" customHeight="false" outlineLevel="0" collapsed="false">
      <c r="A36" s="5" t="n">
        <v>45990</v>
      </c>
      <c r="B36" s="0" t="s">
        <v>730</v>
      </c>
      <c r="C36" s="0" t="s">
        <v>1052</v>
      </c>
      <c r="D36" s="0" t="s">
        <v>774</v>
      </c>
      <c r="E36" s="0" t="s">
        <v>364</v>
      </c>
      <c r="F36" s="10" t="str">
        <f aca="false">VLOOKUP(B36,M:O,3,0)</f>
        <v>10:00</v>
      </c>
      <c r="G36" s="10" t="str">
        <f aca="false">VLOOKUP(B36,M:P,4,0)</f>
        <v>SOVERE VIA CANNETO 4</v>
      </c>
      <c r="I36" s="0" t="s">
        <v>17</v>
      </c>
      <c r="J36" s="0" t="s">
        <v>290</v>
      </c>
    </row>
    <row r="37" customFormat="false" ht="12.5" hidden="false" customHeight="false" outlineLevel="0" collapsed="false">
      <c r="A37" s="5" t="n">
        <v>45990</v>
      </c>
      <c r="B37" s="0" t="s">
        <v>1049</v>
      </c>
      <c r="C37" s="0" t="s">
        <v>1053</v>
      </c>
      <c r="D37" s="0" t="s">
        <v>774</v>
      </c>
      <c r="E37" s="0" t="s">
        <v>364</v>
      </c>
      <c r="F37" s="10" t="str">
        <f aca="false">VLOOKUP(B37,M:O,3,0)</f>
        <v>18:00</v>
      </c>
      <c r="G37" s="10" t="str">
        <f aca="false">VLOOKUP(B37,M:P,4,0)</f>
        <v>LOVERE VIA PAGLIA 41</v>
      </c>
      <c r="I37" s="0" t="s">
        <v>17</v>
      </c>
      <c r="J37" s="0" t="s">
        <v>290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545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2026-02-23T20:11:44Z</dcterms:modified>
  <cp:revision>140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